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xlganttTabId001" Type="http://schemas.microsoft.com/office/2006/relationships/ui/extensibility" Target="customUI/customUI.xml"/><Relationship Id="rId1" Type="http://schemas.openxmlformats.org/officeDocument/2006/relationships/officeDocument" Target="xl/workbook.xml"/><Relationship Id="rId6" Type="http://schemas.openxmlformats.org/officeDocument/2006/relationships/extended-properties" Target="docProps/app.xml"/><Relationship Id="rId5" Type="http://schemas.openxmlformats.org/package/2006/relationships/metadata/core-properties" Target="docProps/core.xml"/><Relationship Id="rId4" Type="http://schemas.microsoft.com/office/2006/relationships/ui/userCustomization" Target="NUL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mc:AlternateContent xmlns:mc="http://schemas.openxmlformats.org/markup-compatibility/2006">
    <mc:Choice Requires="x15">
      <x15ac:absPath xmlns:x15ac="http://schemas.microsoft.com/office/spreadsheetml/2010/11/ac" url="C:\Users\sjpark\Desktop\"/>
    </mc:Choice>
  </mc:AlternateContent>
  <xr:revisionPtr revIDLastSave="0" documentId="13_ncr:1_{79AA0B5D-4C6B-454C-B543-F7317FA7A222}" xr6:coauthVersionLast="47" xr6:coauthVersionMax="47" xr10:uidLastSave="{00000000-0000-0000-0000-000000000000}"/>
  <bookViews>
    <workbookView xWindow="-120" yWindow="-120" windowWidth="29040" windowHeight="15720" tabRatio="636" firstSheet="1" activeTab="1" xr2:uid="{00000000-000D-0000-FFFF-FFFF00000000}"/>
  </bookViews>
  <sheets>
    <sheet name="Help" sheetId="9" r:id="rId1"/>
    <sheet name="Schedule" sheetId="31" r:id="rId2"/>
    <sheet name="Progress" sheetId="3" r:id="rId3"/>
    <sheet name="AnalysisReport" sheetId="4" r:id="rId4"/>
    <sheet name="Calendar" sheetId="5" r:id="rId5"/>
    <sheet name="TranslatedLanguages" sheetId="7" state="hidden" r:id="rId6"/>
    <sheet name="Workload" sheetId="8" r:id="rId7"/>
    <sheet name="Settings" sheetId="6" state="veryHidden" r:id="rId8"/>
  </sheets>
  <functionGroups builtInGroupCount="19"/>
  <definedNames>
    <definedName name="ACTUAL_RATE">Progress!$B$21</definedName>
    <definedName name="ACTUAL_WORKLOAD">Progress!$B$12</definedName>
    <definedName name="ACTUAL_WORKLOAD2">Progress!$B$15</definedName>
    <definedName name="English_Name">TranslatedLanguages!$D$1</definedName>
    <definedName name="PLANNED_RATE">Progress!$B$18</definedName>
    <definedName name="PLANNED_WORKLOAD">Progress!$B$9</definedName>
    <definedName name="_xlnm.Print_Area" localSheetId="1">Schedule!$D$1:$BA$70</definedName>
    <definedName name="RATE_GAP">Progress!$B$24</definedName>
    <definedName name="RNG_ACTUAL_END_DATE_COL_NAME" localSheetId="1">Schedule!$X$3</definedName>
    <definedName name="RNG_ACTUAL_RATE_COL_NAME" localSheetId="1">Schedule!$AE$3</definedName>
    <definedName name="RNG_ACTUAL_START_DATE_COL_NAME" localSheetId="1">Schedule!$W$3</definedName>
    <definedName name="RNG_ACTUAL_TOTAL_DURATION_COL_NAME" localSheetId="1">Schedule!$Z$3</definedName>
    <definedName name="RNG_ACTUAL_TOTAL_WORKLOAD_COL_NAME" localSheetId="1">Schedule!$Y$3</definedName>
    <definedName name="RNG_CALENDAR_COL_NAME" localSheetId="1">Schedule!$R$3</definedName>
    <definedName name="RNG_DELIVERABLES_COL_NAME" localSheetId="1">Schedule!$AC$3</definedName>
    <definedName name="RNG_END_DATE_COL_NAME" localSheetId="1">Schedule!$Q$3</definedName>
    <definedName name="RNG_ETC_COL_NAME" localSheetId="1">Schedule!$O$3</definedName>
    <definedName name="RNG_GANTT_AREA_FIRST_COL_NAME" localSheetId="1">Schedule!$AF$4</definedName>
    <definedName name="RNG_PLAN_DURATION_COL_NAME" localSheetId="1">Schedule!$V$3</definedName>
    <definedName name="RNG_PLAN_RATE_COL_NAME" localSheetId="1">Schedule!$AD$3</definedName>
    <definedName name="RNG_PLAN_WORKLOAD_COL_NAME" localSheetId="1">Schedule!$T$3</definedName>
    <definedName name="RNG_RESOURCE_COL_NAME" localSheetId="1">Schedule!$AB$3</definedName>
    <definedName name="RNG_RESOURCE_WEIGHT_COL_NAME" localSheetId="1">Schedule!$AA$3</definedName>
    <definedName name="RNG_START_DATE_COL_NAME" localSheetId="1">Schedule!$P$3</definedName>
    <definedName name="RNG_TASK_FIRST_COL_NAME" localSheetId="1">Schedule!$E$3</definedName>
    <definedName name="RNG_TOTAL_DURATION_COL_NAME" localSheetId="1">Schedule!$U$3</definedName>
    <definedName name="RNG_TOTAL_WORKLOAD_COL_NAME" localSheetId="1">Schedule!$S$3</definedName>
    <definedName name="RNG_WBS_AREA_LAST_COL_NAME" localSheetId="1">Schedule!$AE$3</definedName>
    <definedName name="RNG_WBS_COL_NAME" localSheetId="1">Schedule!$D$3</definedName>
    <definedName name="RNG_WBS_LEVEL_COL_NAME" localSheetId="1">Schedule!$C$3</definedName>
    <definedName name="STD_CAL">Calendar!$B$5:$B$304</definedName>
    <definedName name="TOTAL_WORKLOAD">Progress!$B$6</definedName>
    <definedName name="UD_CAL1">Calendar!$E$5:$E$304</definedName>
    <definedName name="UD_CAL2">Calendar!$H$5:$H$304</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H5" i="31" l="1"/>
  <c r="AN5" i="31"/>
  <c r="AM6" i="31"/>
  <c r="AM7" i="31"/>
  <c r="AM8" i="31"/>
  <c r="AJ9" i="31"/>
  <c r="AJ10" i="31"/>
  <c r="AJ11" i="31"/>
  <c r="AK12" i="31"/>
  <c r="AK13" i="31"/>
  <c r="AJ14" i="31"/>
  <c r="AJ15" i="31"/>
  <c r="AJ16" i="31"/>
  <c r="AJ17" i="31"/>
  <c r="AJ18" i="31"/>
  <c r="AJ19" i="31"/>
  <c r="AJ20" i="31"/>
  <c r="AJ21" i="31"/>
  <c r="AJ22" i="31"/>
  <c r="AJ23" i="31"/>
  <c r="AJ24" i="31"/>
  <c r="AJ25" i="31"/>
  <c r="AJ26" i="31"/>
  <c r="AL27" i="31"/>
  <c r="AL28" i="31"/>
  <c r="AL29" i="31"/>
  <c r="AL30" i="31"/>
  <c r="AL31" i="31"/>
  <c r="AL32" i="31"/>
  <c r="AM33" i="31"/>
  <c r="AM34" i="31"/>
  <c r="AM35" i="31"/>
  <c r="AI36" i="31"/>
  <c r="AN36" i="31"/>
  <c r="AI37" i="31"/>
  <c r="AN37" i="31"/>
  <c r="AI38" i="31"/>
  <c r="AN38" i="31"/>
  <c r="AI39" i="31"/>
  <c r="AN39" i="31"/>
  <c r="AJ41" i="31"/>
  <c r="AP41" i="31"/>
  <c r="AN42" i="31"/>
  <c r="AN43" i="31"/>
  <c r="AN44" i="31"/>
  <c r="AL45" i="31"/>
  <c r="AL46" i="31"/>
  <c r="AJ47" i="31"/>
  <c r="AL48" i="31"/>
  <c r="AJ49" i="31"/>
  <c r="AK50" i="31"/>
  <c r="AK51" i="31"/>
  <c r="AK52" i="31"/>
  <c r="AL53" i="31"/>
  <c r="AL54" i="31"/>
  <c r="AL55" i="31"/>
  <c r="AL56" i="31"/>
  <c r="AL57" i="31"/>
  <c r="AM58" i="31"/>
  <c r="AN59" i="31"/>
  <c r="AM60" i="31"/>
  <c r="AM61" i="31"/>
  <c r="AM62" i="31"/>
  <c r="AM63" i="31"/>
  <c r="AN64" i="31"/>
  <c r="AN65" i="31"/>
  <c r="AO66" i="31"/>
  <c r="AO67" i="31"/>
  <c r="AO68" i="31"/>
  <c r="AO69" i="31"/>
  <c r="AO70" i="31"/>
  <c r="F7" i="4"/>
  <c r="F8" i="4"/>
  <c r="F9" i="4"/>
  <c r="F10" i="4"/>
  <c r="F11" i="4"/>
  <c r="F12" i="4"/>
  <c r="F13" i="4"/>
  <c r="F14" i="4"/>
  <c r="F15" i="4"/>
  <c r="D16" i="4"/>
  <c r="E16" i="4" s="1"/>
  <c r="E15" i="4"/>
  <c r="E14" i="4"/>
  <c r="E13" i="4"/>
  <c r="E12" i="4"/>
  <c r="E11" i="4"/>
  <c r="E10" i="4"/>
  <c r="E9" i="4"/>
  <c r="E8" i="4"/>
  <c r="E7" i="4"/>
  <c r="C5" i="5" l="1"/>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AE2" i="31" a="1"/>
  <c r="AE1" i="31" a="1"/>
  <c r="D1" i="31" a="1"/>
  <c r="AE1" i="31" l="1"/>
  <c r="AE2" i="31"/>
  <c r="D1" i="31"/>
  <c r="B24" i="3" l="1"/>
</calcChain>
</file>

<file path=xl/sharedStrings.xml><?xml version="1.0" encoding="utf-8"?>
<sst xmlns="http://schemas.openxmlformats.org/spreadsheetml/2006/main" count="3629" uniqueCount="1639">
  <si>
    <t>엑셀간트(XLGantt) - 엑셀 일정관리</t>
    <phoneticPr fontId="25" type="noConversion"/>
  </si>
  <si>
    <t xml:space="preserve">XLGantt 5.0.0 ©XLWorks </t>
    <phoneticPr fontId="13" type="noConversion"/>
  </si>
  <si>
    <r>
      <rPr>
        <b/>
        <sz val="10"/>
        <color theme="10"/>
        <rFont val="Malgun Gothic"/>
        <family val="3"/>
        <charset val="129"/>
      </rPr>
      <t>도움말</t>
    </r>
    <r>
      <rPr>
        <b/>
        <sz val="10"/>
        <color theme="10"/>
        <rFont val="Calibri"/>
        <family val="2"/>
      </rPr>
      <t xml:space="preserve">, </t>
    </r>
    <r>
      <rPr>
        <b/>
        <sz val="10"/>
        <color theme="10"/>
        <rFont val="Malgun Gothic"/>
        <family val="3"/>
        <charset val="129"/>
      </rPr>
      <t>최신</t>
    </r>
    <r>
      <rPr>
        <b/>
        <sz val="10"/>
        <color theme="10"/>
        <rFont val="Calibri"/>
        <family val="2"/>
      </rPr>
      <t xml:space="preserve"> </t>
    </r>
    <r>
      <rPr>
        <b/>
        <sz val="10"/>
        <color theme="10"/>
        <rFont val="Malgun Gothic"/>
        <family val="3"/>
        <charset val="129"/>
      </rPr>
      <t>버전</t>
    </r>
    <r>
      <rPr>
        <b/>
        <sz val="10"/>
        <color theme="10"/>
        <rFont val="Calibri"/>
        <family val="2"/>
      </rPr>
      <t xml:space="preserve"> </t>
    </r>
    <r>
      <rPr>
        <b/>
        <sz val="10"/>
        <color theme="10"/>
        <rFont val="Malgun Gothic"/>
        <family val="3"/>
        <charset val="129"/>
      </rPr>
      <t>다운로드</t>
    </r>
    <r>
      <rPr>
        <b/>
        <sz val="10"/>
        <color theme="10"/>
        <rFont val="Calibri"/>
        <family val="2"/>
      </rPr>
      <t xml:space="preserve"> - https://xlworks.net/xlgantt-project-scheduler/ </t>
    </r>
    <phoneticPr fontId="11" type="noConversion"/>
  </si>
  <si>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phoneticPr fontId="25" type="noConversion"/>
  </si>
  <si>
    <t>시트 구성</t>
    <phoneticPr fontId="25" type="noConversion"/>
  </si>
  <si>
    <t>Schedule</t>
    <phoneticPr fontId="11" type="noConversion"/>
  </si>
  <si>
    <t>작업과 일정을 입력하면 진척율이 계산되며 작업의 일정을 간트차트로 표시해 준다.</t>
    <phoneticPr fontId="11" type="noConversion"/>
  </si>
  <si>
    <t>Progress</t>
    <phoneticPr fontId="11" type="noConversion"/>
  </si>
  <si>
    <t>작업량, 진척율 등을 볼 수 있다.</t>
    <phoneticPr fontId="11" type="noConversion"/>
  </si>
  <si>
    <t>AnalysisReport</t>
    <phoneticPr fontId="11" type="noConversion"/>
  </si>
  <si>
    <t>담당별 진행율, Workload등 분석용 Report를 만들어서 보여준다.</t>
    <phoneticPr fontId="11" type="noConversion"/>
  </si>
  <si>
    <t>Calendar</t>
    <phoneticPr fontId="11" type="noConversion"/>
  </si>
  <si>
    <t>프로젝트의 휴무일을 설정한다.</t>
    <phoneticPr fontId="11" type="noConversion"/>
  </si>
  <si>
    <t>Workload</t>
    <phoneticPr fontId="11" type="noConversion"/>
  </si>
  <si>
    <t>Workload data를 주별/월별로 만들어 준다. 피벗 등의 기능으로 사용자가 원하는대로 분석을 할 수 있다.</t>
    <phoneticPr fontId="11" type="noConversion"/>
  </si>
  <si>
    <t>TranslatedLanguages</t>
    <phoneticPr fontId="11" type="noConversion"/>
  </si>
  <si>
    <t>(숨겨진 시트) 언어별 번역이 들어 있다.</t>
    <phoneticPr fontId="11" type="noConversion"/>
  </si>
  <si>
    <t>사용법</t>
    <phoneticPr fontId="25" type="noConversion"/>
  </si>
  <si>
    <t>간단 사용법</t>
    <phoneticPr fontId="11" type="noConversion"/>
  </si>
  <si>
    <t>기능을 간단히 빨리 익히고 싶으면 “간단 사용법”을 참고한다</t>
    <phoneticPr fontId="11" type="noConversion"/>
  </si>
  <si>
    <t>도움말</t>
    <phoneticPr fontId="11" type="noConversion"/>
  </si>
  <si>
    <t>Task input, schedule update</t>
    <phoneticPr fontId="11" type="noConversion"/>
  </si>
  <si>
    <t>작업명, 시작일, 완료일, 진척율을 입력하면 휴무일, 가중치를 고려하여 자동으로 작업기간, 계획진척율, 실적진척율 등이 계산된다.</t>
    <phoneticPr fontId="11" type="noConversion"/>
  </si>
  <si>
    <t>간트차트 표시방법 설정</t>
    <phoneticPr fontId="11" type="noConversion"/>
  </si>
  <si>
    <t>Bar chart형태로 간트차트를 보여주며 여러 가지 표시방법을 옵션에서 설정할 수 있다.</t>
    <phoneticPr fontId="11" type="noConversion"/>
  </si>
  <si>
    <t>프로젝트 전체 진행상황 파악하기</t>
    <phoneticPr fontId="11" type="noConversion"/>
  </si>
  <si>
    <t>진척율을 이용하여 프로젝트 전체 진행상황을 파악할 수 있다.</t>
    <phoneticPr fontId="11" type="noConversion"/>
  </si>
  <si>
    <t>분석 리포트</t>
    <phoneticPr fontId="11" type="noConversion"/>
  </si>
  <si>
    <t>프로젝트의 현황을 파악할 수 있는 진행율, Workload 등의 분석 리포트와 분석용 Workload data를 제공한다.</t>
    <phoneticPr fontId="11" type="noConversion"/>
  </si>
  <si>
    <t>일정계획 변경관리</t>
    <phoneticPr fontId="11"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</si>
  <si>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11" type="noConversion"/>
  </si>
  <si>
    <t>산출물</t>
    <phoneticPr fontId="11"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</si>
  <si>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11" type="noConversion"/>
  </si>
  <si>
    <t>Microsoft Outlook작업, 일정등록</t>
    <phoneticPr fontId="11" type="noConversion"/>
  </si>
  <si>
    <t>엑셀간트에서는 Schedule시트에 입력되어 있는 작업을 Microsoft Outlook에 작업이나 일정으로 등록할 수 있는 기능을 제공한다(단, PC에 Microsoft Outlook이 설치되어 있어야 한다).</t>
    <phoneticPr fontId="11" type="noConversion"/>
  </si>
  <si>
    <t>다국어 지원</t>
    <phoneticPr fontId="11" type="noConversion"/>
  </si>
  <si>
    <t>엑셀간트는 다국어를 지원하는데 프로그램을 수정하지 않고 여러 다국어를 추가할 수 있다. 현재는 한국어, 영어 2개 국어가 추가되어 있다.</t>
    <phoneticPr fontId="11" type="noConversion"/>
  </si>
  <si>
    <t>다른 파일에서 일정 가져오기</t>
    <phoneticPr fontId="11" type="noConversion"/>
  </si>
  <si>
    <t>엑셀간트에서는 엑셀간트(XLGantt) 또는 일반 엑셀파일로 만들어진 일정을 가져오는 기능을 제공한다.</t>
    <phoneticPr fontId="11" type="noConversion"/>
  </si>
  <si>
    <t>한주의 시작요일 지정, 휴무일 설정, 주차표시 기능을 제공한다.
리본메뉴 &gt; XLGantt – Project Scheduler &gt; 옵션 &gt; “Calendar” 탭에서 설정할 수 있다.</t>
    <phoneticPr fontId="11" type="noConversion"/>
  </si>
  <si>
    <t>Excel기능과 통합</t>
    <phoneticPr fontId="11"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</si>
  <si>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11" type="noConversion"/>
  </si>
  <si>
    <t>작업량 계산</t>
    <phoneticPr fontId="11" type="noConversion"/>
  </si>
  <si>
    <t>작업량 계산 방식을 선택할 수 있다.</t>
    <phoneticPr fontId="11" type="noConversion"/>
  </si>
  <si>
    <t>WBS영역, 컬러테마 설정</t>
    <phoneticPr fontId="11" type="noConversion"/>
  </si>
  <si>
    <t>엑셀간트의 모양과 색상을 지정할 수 있다.</t>
    <phoneticPr fontId="11" type="noConversion"/>
  </si>
  <si>
    <t>작업 의존관계 설정</t>
    <phoneticPr fontId="11" type="noConversion"/>
  </si>
  <si>
    <t>작업 의존관계(FS,SS,FF,SF)를 설정할 수 있다.</t>
    <phoneticPr fontId="11" type="noConversion"/>
  </si>
  <si>
    <t>XLGantt Version 5.0.0 사용조건</t>
    <phoneticPr fontId="11"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</si>
  <si>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11" type="noConversion"/>
  </si>
  <si>
    <r>
      <t xml:space="preserve">XLGantt 5.0.0 ©XLWorks </t>
    </r>
    <r>
      <rPr>
        <b/>
        <sz val="9"/>
        <color rgb="FFFF8800"/>
        <rFont val="Calibri"/>
        <family val="2"/>
      </rPr>
      <t xml:space="preserve"> </t>
    </r>
    <r>
      <rPr>
        <b/>
        <sz val="9"/>
        <color rgb="FFFF8800"/>
        <rFont val="돋움"/>
        <family val="3"/>
        <charset val="129"/>
      </rPr>
      <t>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자동</t>
    </r>
  </si>
  <si>
    <t>W1</t>
  </si>
  <si>
    <t>W5</t>
  </si>
  <si>
    <t>reserved</t>
    <phoneticPr fontId="13" type="noConversion"/>
  </si>
  <si>
    <t>task_group</t>
    <phoneticPr fontId="13" type="noConversion"/>
  </si>
  <si>
    <t>wbs_level</t>
    <phoneticPr fontId="13" type="noConversion"/>
  </si>
  <si>
    <t>WBS</t>
    <phoneticPr fontId="13" type="noConversion"/>
  </si>
  <si>
    <t>작업*</t>
    <phoneticPr fontId="13" type="noConversion"/>
  </si>
  <si>
    <t>비고</t>
    <phoneticPr fontId="13" type="noConversion"/>
  </si>
  <si>
    <t>시작일*</t>
    <phoneticPr fontId="13" type="noConversion"/>
  </si>
  <si>
    <t>완료일*</t>
    <phoneticPr fontId="13" type="noConversion"/>
  </si>
  <si>
    <t>Calendar</t>
    <phoneticPr fontId="13" type="noConversion"/>
  </si>
  <si>
    <t>총_x000D_
작업량</t>
    <phoneticPr fontId="13" type="noConversion"/>
  </si>
  <si>
    <t>계획_x000D_
작업량</t>
    <phoneticPr fontId="13" type="noConversion"/>
  </si>
  <si>
    <t>총_x000D_
기간</t>
    <phoneticPr fontId="13" type="noConversion"/>
  </si>
  <si>
    <t>계획_x000D_
기간</t>
    <phoneticPr fontId="13" type="noConversion"/>
  </si>
  <si>
    <t>실제_x000D_
시작일</t>
    <phoneticPr fontId="13" type="noConversion"/>
  </si>
  <si>
    <t>실제_x000D_
완료일</t>
    <phoneticPr fontId="13" type="noConversion"/>
  </si>
  <si>
    <t>실제_x000D_
총작업량</t>
    <phoneticPr fontId="13" type="noConversion"/>
  </si>
  <si>
    <t>실제_x000D_
총기간</t>
    <phoneticPr fontId="13" type="noConversion"/>
  </si>
  <si>
    <t>가중치</t>
    <phoneticPr fontId="13" type="noConversion"/>
  </si>
  <si>
    <t>담당</t>
    <phoneticPr fontId="13" type="noConversion"/>
  </si>
  <si>
    <t>산출물</t>
    <phoneticPr fontId="13" type="noConversion"/>
  </si>
  <si>
    <t>계획</t>
    <phoneticPr fontId="13" type="noConversion"/>
  </si>
  <si>
    <t>실적*</t>
    <phoneticPr fontId="13" type="noConversion"/>
  </si>
  <si>
    <t>G</t>
  </si>
  <si>
    <t>1</t>
  </si>
  <si>
    <t>1.1</t>
  </si>
  <si>
    <t>1.1.1</t>
  </si>
  <si>
    <t>1.1.1.1</t>
  </si>
  <si>
    <t>1.1.1.2</t>
  </si>
  <si>
    <t>1.1.2</t>
  </si>
  <si>
    <t>1.1.2.1</t>
  </si>
  <si>
    <t>1.1.2.2</t>
  </si>
  <si>
    <t>2</t>
  </si>
  <si>
    <t>2.1</t>
  </si>
  <si>
    <t>2.1.1</t>
  </si>
  <si>
    <t>2.1.2</t>
  </si>
  <si>
    <t>2.2</t>
  </si>
  <si>
    <t>2.2.1</t>
  </si>
  <si>
    <t>디자인</t>
  </si>
  <si>
    <t>차트</t>
  </si>
  <si>
    <t>4</t>
  </si>
  <si>
    <t>프로젝트 진척율 - 일정변경 관리하지 않을때</t>
    <phoneticPr fontId="13" type="noConversion"/>
  </si>
  <si>
    <t>* 프로젝트 작업량과 진척율을 보여줍니다.</t>
    <phoneticPr fontId="13" type="noConversion"/>
  </si>
  <si>
    <t>* "스케줄업데이트" 버튼 클릭 시 아래 항목이 자동계산됩니다.</t>
    <phoneticPr fontId="13" type="noConversion"/>
  </si>
  <si>
    <t>프로젝트 전체 작업량</t>
    <phoneticPr fontId="13" type="noConversion"/>
  </si>
  <si>
    <t>Man/Day</t>
    <phoneticPr fontId="13" type="noConversion"/>
  </si>
  <si>
    <t>프로젝트 전체의 작업량을 Man/Day로 표시한다. 가중치를 적용한 값이다.</t>
    <phoneticPr fontId="13" type="noConversion"/>
  </si>
  <si>
    <t>현재일까지 계획된 작업량</t>
    <phoneticPr fontId="13" type="noConversion"/>
  </si>
  <si>
    <t>해당작업의 시작일부터 현재일까지의 작업기간을 의미함(현재 날짜까지 진행되었어야 할 기간)</t>
    <phoneticPr fontId="13" type="noConversion"/>
  </si>
  <si>
    <t>실적기성</t>
    <phoneticPr fontId="13" type="noConversion"/>
  </si>
  <si>
    <t>실적기성(총기간 x 총실적진행율)</t>
    <phoneticPr fontId="13" type="noConversion"/>
  </si>
  <si>
    <t>실제 투입된 작업량</t>
    <phoneticPr fontId="13" type="noConversion"/>
  </si>
  <si>
    <t>일정변경 관리할 때 현재까지 실제로 투입된 작업기간을 표시함</t>
    <phoneticPr fontId="13" type="noConversion"/>
  </si>
  <si>
    <t>계획 진척율(A)</t>
    <phoneticPr fontId="13" type="noConversion"/>
  </si>
  <si>
    <t>현재날짜까지 계획된 진척율, WBS의 "계획진척율"의 전체 합계 진척율을 표시함</t>
    <phoneticPr fontId="13" type="noConversion"/>
  </si>
  <si>
    <t>실적 진척율(B)</t>
    <phoneticPr fontId="13" type="noConversion"/>
  </si>
  <si>
    <t>현재날짜까지 실제로 진행된 진척율, WBS의 "실적진척율"의 전체 합계 진척율을 표시함</t>
    <phoneticPr fontId="13" type="noConversion"/>
  </si>
  <si>
    <t>차이(B-A)</t>
    <phoneticPr fontId="13" type="noConversion"/>
  </si>
  <si>
    <t>양수이면 계획보다 빨리 진행, 음수이면 지연</t>
    <phoneticPr fontId="13" type="noConversion"/>
  </si>
  <si>
    <t>시작일</t>
  </si>
  <si>
    <t>완료일</t>
  </si>
  <si>
    <t xml:space="preserve"> 프로젝트 휴무일 Calendar 설정</t>
    <phoneticPr fontId="13"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</si>
  <si>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13" type="noConversion"/>
  </si>
  <si>
    <t>표준캘린더</t>
    <phoneticPr fontId="13" type="noConversion"/>
  </si>
  <si>
    <t>사용자정의 캘린더1</t>
    <phoneticPr fontId="13" type="noConversion"/>
  </si>
  <si>
    <t>사용자정의 캘린더2</t>
    <phoneticPr fontId="13" type="noConversion"/>
  </si>
  <si>
    <t>휴무일명</t>
    <phoneticPr fontId="13" type="noConversion"/>
  </si>
  <si>
    <t>휴무일자</t>
    <phoneticPr fontId="13" type="noConversion"/>
  </si>
  <si>
    <t>2022년 설연휴</t>
    <phoneticPr fontId="11" type="noConversion"/>
  </si>
  <si>
    <t>2022년 설날</t>
    <phoneticPr fontId="11" type="noConversion"/>
  </si>
  <si>
    <t>2022년 삼일절</t>
    <phoneticPr fontId="11" type="noConversion"/>
  </si>
  <si>
    <t>2022년 20대 대통령 선거</t>
    <phoneticPr fontId="11" type="noConversion"/>
  </si>
  <si>
    <t>2022년 어린이날</t>
    <phoneticPr fontId="11" type="noConversion"/>
  </si>
  <si>
    <t>2022년 지방선거</t>
    <phoneticPr fontId="11" type="noConversion"/>
  </si>
  <si>
    <t>2022년 현충일</t>
    <phoneticPr fontId="11" type="noConversion"/>
  </si>
  <si>
    <t>2022년 광복절</t>
    <phoneticPr fontId="11" type="noConversion"/>
  </si>
  <si>
    <t>2022년 추석연휴</t>
    <phoneticPr fontId="11" type="noConversion"/>
  </si>
  <si>
    <t>2022년 추석 대체공휴일</t>
    <phoneticPr fontId="11" type="noConversion"/>
  </si>
  <si>
    <t>2022년 개천철</t>
    <phoneticPr fontId="11" type="noConversion"/>
  </si>
  <si>
    <t>2022년 한글날 대체공휴일</t>
    <phoneticPr fontId="11" type="noConversion"/>
  </si>
  <si>
    <t>더 이상 입력불가</t>
    <phoneticPr fontId="13" type="noConversion"/>
  </si>
  <si>
    <t>Reserved</t>
    <phoneticPr fontId="13" type="noConversion"/>
  </si>
  <si>
    <t>Text Index</t>
    <phoneticPr fontId="13" type="noConversion"/>
  </si>
  <si>
    <t>Description</t>
    <phoneticPr fontId="13" type="noConversion"/>
  </si>
  <si>
    <t>English</t>
  </si>
  <si>
    <t>Korean</t>
  </si>
  <si>
    <t>Custom</t>
  </si>
  <si>
    <t>F</t>
    <phoneticPr fontId="11" type="noConversion"/>
  </si>
  <si>
    <t>reserved index</t>
    <phoneticPr fontId="11"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</si>
  <si>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11" type="noConversion"/>
  </si>
  <si>
    <r>
      <t xml:space="preserve">* </t>
    </r>
    <r>
      <rPr>
        <sz val="9"/>
        <color theme="1"/>
        <rFont val="맑은 고딕"/>
        <family val="3"/>
        <charset val="129"/>
      </rPr>
      <t>현재</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영어와</t>
    </r>
    <r>
      <rPr>
        <sz val="9"/>
        <color theme="1"/>
        <rFont val="Calibri"/>
        <family val="2"/>
      </rPr>
      <t xml:space="preserve"> </t>
    </r>
    <r>
      <rPr>
        <sz val="9"/>
        <color theme="1"/>
        <rFont val="맑은 고딕"/>
        <family val="3"/>
        <charset val="129"/>
      </rPr>
      <t>한국어만</t>
    </r>
    <r>
      <rPr>
        <sz val="9"/>
        <color theme="1"/>
        <rFont val="Calibri"/>
        <family val="2"/>
      </rPr>
      <t xml:space="preserve"> </t>
    </r>
    <r>
      <rPr>
        <sz val="9"/>
        <color theme="1"/>
        <rFont val="맑은 고딕"/>
        <family val="3"/>
        <charset val="129"/>
      </rPr>
      <t>지원합니다</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언어가</t>
    </r>
    <r>
      <rPr>
        <sz val="9"/>
        <color theme="1"/>
        <rFont val="Calibri"/>
        <family val="2"/>
      </rPr>
      <t xml:space="preserve"> </t>
    </r>
    <r>
      <rPr>
        <sz val="9"/>
        <color theme="1"/>
        <rFont val="맑은 고딕"/>
        <family val="3"/>
        <charset val="129"/>
      </rPr>
      <t>필요하면</t>
    </r>
    <r>
      <rPr>
        <sz val="9"/>
        <color theme="1"/>
        <rFont val="Calibri"/>
        <family val="2"/>
      </rPr>
      <t xml:space="preserve">  </t>
    </r>
    <r>
      <rPr>
        <sz val="9"/>
        <color theme="1"/>
        <rFont val="맑은 고딕"/>
        <family val="3"/>
        <charset val="129"/>
      </rPr>
      <t>아래</t>
    </r>
    <r>
      <rPr>
        <sz val="9"/>
        <color theme="1"/>
        <rFont val="Calibri"/>
        <family val="2"/>
      </rPr>
      <t xml:space="preserve"> "</t>
    </r>
    <r>
      <rPr>
        <sz val="9"/>
        <color theme="1"/>
        <rFont val="맑은 고딕"/>
        <family val="3"/>
        <charset val="129"/>
      </rPr>
      <t>언어추가</t>
    </r>
    <r>
      <rPr>
        <sz val="9"/>
        <color theme="1"/>
        <rFont val="Calibri"/>
        <family val="2"/>
      </rPr>
      <t>"</t>
    </r>
    <r>
      <rPr>
        <sz val="9"/>
        <color theme="1"/>
        <rFont val="맑은 고딕"/>
        <family val="3"/>
        <charset val="129"/>
      </rPr>
      <t>에서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추가하고</t>
    </r>
    <r>
      <rPr>
        <sz val="9"/>
        <color theme="1"/>
        <rFont val="Calibri"/>
        <family val="2"/>
      </rPr>
      <t xml:space="preserve"> TranslatedLanguages sheet</t>
    </r>
    <r>
      <rPr>
        <sz val="9"/>
        <color theme="1"/>
        <rFont val="맑은 고딕"/>
        <family val="3"/>
        <charset val="129"/>
      </rPr>
      <t>에</t>
    </r>
    <r>
      <rPr>
        <sz val="9"/>
        <color theme="1"/>
        <rFont val="Calibri"/>
        <family val="2"/>
      </rPr>
      <t xml:space="preserve"> </t>
    </r>
    <r>
      <rPr>
        <sz val="9"/>
        <color theme="1"/>
        <rFont val="맑은 고딕"/>
        <family val="3"/>
        <charset val="129"/>
      </rPr>
      <t>각</t>
    </r>
    <r>
      <rPr>
        <sz val="9"/>
        <color theme="1"/>
        <rFont val="Calibri"/>
        <family val="2"/>
      </rPr>
      <t xml:space="preserve"> </t>
    </r>
    <r>
      <rPr>
        <sz val="9"/>
        <color theme="1"/>
        <rFont val="맑은 고딕"/>
        <family val="3"/>
        <charset val="129"/>
      </rPr>
      <t>언어별로</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추가해야</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추가하지</t>
    </r>
    <r>
      <rPr>
        <sz val="9"/>
        <color theme="1"/>
        <rFont val="Calibri"/>
        <family val="2"/>
      </rPr>
      <t xml:space="preserve"> </t>
    </r>
    <r>
      <rPr>
        <sz val="9"/>
        <color theme="1"/>
        <rFont val="맑은 고딕"/>
        <family val="3"/>
        <charset val="129"/>
      </rPr>
      <t>않으면</t>
    </r>
    <r>
      <rPr>
        <sz val="9"/>
        <color theme="1"/>
        <rFont val="Calibri"/>
        <family val="2"/>
      </rPr>
      <t xml:space="preserve"> </t>
    </r>
    <r>
      <rPr>
        <sz val="9"/>
        <color theme="1"/>
        <rFont val="맑은 고딕"/>
        <family val="3"/>
        <charset val="129"/>
      </rPr>
      <t>기본언어인</t>
    </r>
    <r>
      <rPr>
        <sz val="9"/>
        <color theme="1"/>
        <rFont val="Calibri"/>
        <family val="2"/>
      </rPr>
      <t xml:space="preserve"> </t>
    </r>
    <r>
      <rPr>
        <sz val="9"/>
        <color theme="1"/>
        <rFont val="맑은 고딕"/>
        <family val="3"/>
        <charset val="129"/>
      </rPr>
      <t>영어로</t>
    </r>
    <r>
      <rPr>
        <sz val="9"/>
        <color theme="1"/>
        <rFont val="Calibri"/>
        <family val="2"/>
      </rPr>
      <t xml:space="preserve"> </t>
    </r>
    <r>
      <rPr>
        <sz val="9"/>
        <color theme="1"/>
        <rFont val="맑은 고딕"/>
        <family val="3"/>
        <charset val="129"/>
      </rPr>
      <t>표시됩니다</t>
    </r>
    <r>
      <rPr>
        <sz val="9"/>
        <color theme="1"/>
        <rFont val="Calibri"/>
        <family val="2"/>
      </rPr>
      <t>(TranslatedLanguages sheet</t>
    </r>
    <r>
      <rPr>
        <sz val="9"/>
        <color theme="1"/>
        <rFont val="맑은 고딕"/>
        <family val="3"/>
        <charset val="129"/>
      </rPr>
      <t>는</t>
    </r>
    <r>
      <rPr>
        <sz val="9"/>
        <color theme="1"/>
        <rFont val="Calibri"/>
        <family val="2"/>
      </rPr>
      <t xml:space="preserve"> </t>
    </r>
    <r>
      <rPr>
        <sz val="9"/>
        <color theme="1"/>
        <rFont val="맑은 고딕"/>
        <family val="3"/>
        <charset val="129"/>
      </rPr>
      <t>숨겨져</t>
    </r>
    <r>
      <rPr>
        <sz val="9"/>
        <color theme="1"/>
        <rFont val="Calibri"/>
        <family val="2"/>
      </rPr>
      <t xml:space="preserve"> </t>
    </r>
    <r>
      <rPr>
        <sz val="9"/>
        <color theme="1"/>
        <rFont val="맑은 고딕"/>
        <family val="3"/>
        <charset val="129"/>
      </rPr>
      <t>있음</t>
    </r>
    <r>
      <rPr>
        <sz val="9"/>
        <color theme="1"/>
        <rFont val="Calibri"/>
        <family val="2"/>
      </rPr>
      <t>,Sheet</t>
    </r>
    <r>
      <rPr>
        <sz val="9"/>
        <color theme="1"/>
        <rFont val="맑은 고딕"/>
        <family val="3"/>
        <charset val="129"/>
      </rPr>
      <t>메뉴에서</t>
    </r>
    <r>
      <rPr>
        <sz val="9"/>
        <color theme="1"/>
        <rFont val="Calibri"/>
        <family val="2"/>
      </rPr>
      <t xml:space="preserve"> </t>
    </r>
    <r>
      <rPr>
        <sz val="9"/>
        <color theme="1"/>
        <rFont val="맑은 고딕"/>
        <family val="3"/>
        <charset val="129"/>
      </rPr>
      <t>숨기기</t>
    </r>
    <r>
      <rPr>
        <sz val="9"/>
        <color theme="1"/>
        <rFont val="Calibri"/>
        <family val="2"/>
      </rPr>
      <t xml:space="preserve"> </t>
    </r>
    <r>
      <rPr>
        <sz val="9"/>
        <color theme="1"/>
        <rFont val="맑은 고딕"/>
        <family val="3"/>
        <charset val="129"/>
      </rPr>
      <t>취소하면</t>
    </r>
    <r>
      <rPr>
        <sz val="9"/>
        <color theme="1"/>
        <rFont val="Calibri"/>
        <family val="2"/>
      </rPr>
      <t xml:space="preserve"> </t>
    </r>
    <r>
      <rPr>
        <sz val="9"/>
        <color theme="1"/>
        <rFont val="맑은 고딕"/>
        <family val="3"/>
        <charset val="129"/>
      </rPr>
      <t>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있음</t>
    </r>
    <r>
      <rPr>
        <sz val="9"/>
        <color theme="1"/>
        <rFont val="Calibri"/>
        <family val="2"/>
      </rPr>
      <t>)</t>
    </r>
  </si>
  <si>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11" type="noConversion"/>
  </si>
  <si>
    <r>
      <rPr>
        <sz val="9"/>
        <color theme="1"/>
        <rFont val="맑은 고딕"/>
        <family val="3"/>
        <charset val="129"/>
      </rPr>
      <t>여기에는</t>
    </r>
    <r>
      <rPr>
        <sz val="9"/>
        <color theme="1"/>
        <rFont val="Calibri"/>
        <family val="2"/>
      </rPr>
      <t xml:space="preserve"> </t>
    </r>
    <r>
      <rPr>
        <sz val="9"/>
        <color theme="1"/>
        <rFont val="맑은 고딕"/>
        <family val="3"/>
        <charset val="129"/>
      </rPr>
      <t>프로젝트의</t>
    </r>
    <r>
      <rPr>
        <sz val="9"/>
        <color theme="1"/>
        <rFont val="Calibri"/>
        <family val="2"/>
      </rPr>
      <t xml:space="preserve"> </t>
    </r>
    <r>
      <rPr>
        <sz val="9"/>
        <color theme="1"/>
        <rFont val="맑은 고딕"/>
        <family val="3"/>
        <charset val="129"/>
      </rPr>
      <t>휴무일만</t>
    </r>
    <r>
      <rPr>
        <sz val="9"/>
        <color theme="1"/>
        <rFont val="Calibri"/>
        <family val="2"/>
      </rPr>
      <t xml:space="preserve"> </t>
    </r>
    <r>
      <rPr>
        <sz val="9"/>
        <color theme="1"/>
        <rFont val="맑은 고딕"/>
        <family val="3"/>
        <charset val="129"/>
      </rPr>
      <t>입력하세요</t>
    </r>
    <r>
      <rPr>
        <sz val="9"/>
        <color theme="1"/>
        <rFont val="Calibri"/>
        <family val="2"/>
      </rPr>
      <t>.</t>
    </r>
    <r>
      <rPr>
        <sz val="9"/>
        <color theme="1"/>
        <rFont val="맑은 고딕"/>
        <family val="3"/>
        <charset val="129"/>
      </rPr>
      <t>휴무일을</t>
    </r>
    <r>
      <rPr>
        <sz val="9"/>
        <color theme="1"/>
        <rFont val="Calibri"/>
        <family val="2"/>
      </rPr>
      <t xml:space="preserve"> </t>
    </r>
    <r>
      <rPr>
        <sz val="9"/>
        <color theme="1"/>
        <rFont val="맑은 고딕"/>
        <family val="3"/>
        <charset val="129"/>
      </rPr>
      <t>제외한</t>
    </r>
    <r>
      <rPr>
        <sz val="9"/>
        <color theme="1"/>
        <rFont val="Calibri"/>
        <family val="2"/>
      </rPr>
      <t xml:space="preserve"> </t>
    </r>
    <r>
      <rPr>
        <sz val="9"/>
        <color theme="1"/>
        <rFont val="맑은 고딕"/>
        <family val="3"/>
        <charset val="129"/>
      </rPr>
      <t>날짜는</t>
    </r>
    <r>
      <rPr>
        <sz val="9"/>
        <color theme="1"/>
        <rFont val="Calibri"/>
        <family val="2"/>
      </rPr>
      <t xml:space="preserve"> </t>
    </r>
    <r>
      <rPr>
        <sz val="9"/>
        <color theme="1"/>
        <rFont val="맑은 고딕"/>
        <family val="3"/>
        <charset val="129"/>
      </rPr>
      <t>근무일자로</t>
    </r>
    <r>
      <rPr>
        <sz val="9"/>
        <color theme="1"/>
        <rFont val="Calibri"/>
        <family val="2"/>
      </rPr>
      <t xml:space="preserve"> </t>
    </r>
    <r>
      <rPr>
        <sz val="9"/>
        <color theme="1"/>
        <rFont val="맑은 고딕"/>
        <family val="3"/>
        <charset val="129"/>
      </rPr>
      <t>설정됩니다</t>
    </r>
    <r>
      <rPr>
        <sz val="9"/>
        <color theme="1"/>
        <rFont val="Calibri"/>
        <family val="2"/>
      </rPr>
      <t>. \n</t>
    </r>
    <r>
      <rPr>
        <sz val="9"/>
        <color theme="1"/>
        <rFont val="맑은 고딕"/>
        <family val="3"/>
        <charset val="129"/>
      </rPr>
      <t>휴무일을</t>
    </r>
    <r>
      <rPr>
        <sz val="9"/>
        <color theme="1"/>
        <rFont val="Calibri"/>
        <family val="2"/>
      </rPr>
      <t xml:space="preserve"> </t>
    </r>
    <r>
      <rPr>
        <sz val="9"/>
        <color theme="1"/>
        <rFont val="맑은 고딕"/>
        <family val="3"/>
        <charset val="129"/>
      </rPr>
      <t>입력해야</t>
    </r>
    <r>
      <rPr>
        <sz val="9"/>
        <color theme="1"/>
        <rFont val="Calibri"/>
        <family val="2"/>
      </rPr>
      <t xml:space="preserve"> </t>
    </r>
    <r>
      <rPr>
        <sz val="9"/>
        <color theme="1"/>
        <rFont val="맑은 고딕"/>
        <family val="3"/>
        <charset val="129"/>
      </rPr>
      <t>작업기간</t>
    </r>
    <r>
      <rPr>
        <sz val="9"/>
        <color theme="1"/>
        <rFont val="Calibri"/>
        <family val="2"/>
      </rPr>
      <t xml:space="preserve"> </t>
    </r>
    <r>
      <rPr>
        <sz val="9"/>
        <color theme="1"/>
        <rFont val="맑은 고딕"/>
        <family val="3"/>
        <charset val="129"/>
      </rPr>
      <t>계산시</t>
    </r>
    <r>
      <rPr>
        <sz val="9"/>
        <color theme="1"/>
        <rFont val="Calibri"/>
        <family val="2"/>
      </rPr>
      <t xml:space="preserve"> </t>
    </r>
    <r>
      <rPr>
        <sz val="9"/>
        <color theme="1"/>
        <rFont val="맑은 고딕"/>
        <family val="3"/>
        <charset val="129"/>
      </rPr>
      <t>반영합니다</t>
    </r>
    <r>
      <rPr>
        <sz val="9"/>
        <color theme="1"/>
        <rFont val="Calibri"/>
        <family val="2"/>
      </rPr>
      <t xml:space="preserve">. </t>
    </r>
    <r>
      <rPr>
        <sz val="9"/>
        <color theme="1"/>
        <rFont val="맑은 고딕"/>
        <family val="3"/>
        <charset val="129"/>
      </rPr>
      <t>입력한</t>
    </r>
    <r>
      <rPr>
        <sz val="9"/>
        <color theme="1"/>
        <rFont val="Calibri"/>
        <family val="2"/>
      </rPr>
      <t xml:space="preserve"> </t>
    </r>
    <r>
      <rPr>
        <sz val="9"/>
        <color theme="1"/>
        <rFont val="맑은 고딕"/>
        <family val="3"/>
        <charset val="129"/>
      </rPr>
      <t>일자만큼</t>
    </r>
    <r>
      <rPr>
        <sz val="9"/>
        <color theme="1"/>
        <rFont val="Calibri"/>
        <family val="2"/>
      </rPr>
      <t xml:space="preserve"> </t>
    </r>
    <r>
      <rPr>
        <sz val="9"/>
        <color theme="1"/>
        <rFont val="맑은 고딕"/>
        <family val="3"/>
        <charset val="129"/>
      </rPr>
      <t>작업기간에서</t>
    </r>
    <r>
      <rPr>
        <sz val="9"/>
        <color theme="1"/>
        <rFont val="Calibri"/>
        <family val="2"/>
      </rPr>
      <t xml:space="preserve"> </t>
    </r>
    <r>
      <rPr>
        <sz val="9"/>
        <color theme="1"/>
        <rFont val="맑은 고딕"/>
        <family val="3"/>
        <charset val="129"/>
      </rPr>
      <t>제외합니다</t>
    </r>
    <r>
      <rPr>
        <sz val="9"/>
        <color theme="1"/>
        <rFont val="Calibri"/>
        <family val="2"/>
      </rPr>
      <t>.\n(</t>
    </r>
    <r>
      <rPr>
        <sz val="9"/>
        <color theme="1"/>
        <rFont val="맑은 고딕"/>
        <family val="3"/>
        <charset val="129"/>
      </rPr>
      <t>단</t>
    </r>
    <r>
      <rPr>
        <sz val="9"/>
        <color theme="1"/>
        <rFont val="Calibri"/>
        <family val="2"/>
      </rPr>
      <t xml:space="preserve">, </t>
    </r>
    <r>
      <rPr>
        <sz val="9"/>
        <color theme="1"/>
        <rFont val="맑은 고딕"/>
        <family val="3"/>
        <charset val="129"/>
      </rPr>
      <t>옵션창의</t>
    </r>
    <r>
      <rPr>
        <sz val="9"/>
        <color theme="1"/>
        <rFont val="Calibri"/>
        <family val="2"/>
      </rPr>
      <t xml:space="preserve"> </t>
    </r>
    <r>
      <rPr>
        <sz val="9"/>
        <color theme="1"/>
        <rFont val="맑은 고딕"/>
        <family val="3"/>
        <charset val="129"/>
      </rPr>
      <t>캘린더</t>
    </r>
    <r>
      <rPr>
        <sz val="9"/>
        <color theme="1"/>
        <rFont val="Calibri"/>
        <family val="2"/>
      </rPr>
      <t xml:space="preserve"> </t>
    </r>
    <r>
      <rPr>
        <sz val="9"/>
        <color theme="1"/>
        <rFont val="맑은 고딕"/>
        <family val="3"/>
        <charset val="129"/>
      </rPr>
      <t>설정에</t>
    </r>
    <r>
      <rPr>
        <sz val="9"/>
        <color theme="1"/>
        <rFont val="Calibri"/>
        <family val="2"/>
      </rPr>
      <t xml:space="preserve"> </t>
    </r>
    <r>
      <rPr>
        <sz val="9"/>
        <color theme="1"/>
        <rFont val="맑은 고딕"/>
        <family val="3"/>
        <charset val="129"/>
      </rPr>
      <t>따라</t>
    </r>
    <r>
      <rPr>
        <sz val="9"/>
        <color theme="1"/>
        <rFont val="Calibri"/>
        <family val="2"/>
      </rPr>
      <t xml:space="preserve"> </t>
    </r>
    <r>
      <rPr>
        <sz val="9"/>
        <color theme="1"/>
        <rFont val="맑은 고딕"/>
        <family val="3"/>
        <charset val="129"/>
      </rPr>
      <t>휴무일계산방법은</t>
    </r>
    <r>
      <rPr>
        <sz val="9"/>
        <color theme="1"/>
        <rFont val="Calibri"/>
        <family val="2"/>
      </rPr>
      <t xml:space="preserve"> </t>
    </r>
    <r>
      <rPr>
        <sz val="9"/>
        <color theme="1"/>
        <rFont val="맑은 고딕"/>
        <family val="3"/>
        <charset val="129"/>
      </rPr>
      <t>달라질</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.)\n</t>
    </r>
    <r>
      <rPr>
        <sz val="9"/>
        <color theme="1"/>
        <rFont val="맑은 고딕"/>
        <family val="3"/>
        <charset val="129"/>
      </rPr>
      <t>표준캘린더는</t>
    </r>
    <r>
      <rPr>
        <sz val="9"/>
        <color theme="1"/>
        <rFont val="Calibri"/>
        <family val="2"/>
      </rPr>
      <t xml:space="preserve"> </t>
    </r>
    <r>
      <rPr>
        <sz val="9"/>
        <color theme="1"/>
        <rFont val="맑은 고딕"/>
        <family val="3"/>
        <charset val="129"/>
      </rPr>
      <t>기본으로</t>
    </r>
    <r>
      <rPr>
        <sz val="9"/>
        <color theme="1"/>
        <rFont val="Calibri"/>
        <family val="2"/>
      </rPr>
      <t xml:space="preserve"> </t>
    </r>
    <r>
      <rPr>
        <sz val="9"/>
        <color theme="1"/>
        <rFont val="맑은 고딕"/>
        <family val="3"/>
        <charset val="129"/>
      </rPr>
      <t>적용되는</t>
    </r>
    <r>
      <rPr>
        <sz val="9"/>
        <color theme="1"/>
        <rFont val="Calibri"/>
        <family val="2"/>
      </rPr>
      <t xml:space="preserve"> </t>
    </r>
    <r>
      <rPr>
        <sz val="9"/>
        <color theme="1"/>
        <rFont val="맑은 고딕"/>
        <family val="3"/>
        <charset val="129"/>
      </rPr>
      <t>캘린더이며</t>
    </r>
    <r>
      <rPr>
        <sz val="9"/>
        <color theme="1"/>
        <rFont val="Calibri"/>
        <family val="2"/>
      </rPr>
      <t xml:space="preserve"> </t>
    </r>
    <r>
      <rPr>
        <sz val="9"/>
        <color theme="1"/>
        <rFont val="맑은 고딕"/>
        <family val="3"/>
        <charset val="129"/>
      </rPr>
      <t>특정</t>
    </r>
    <r>
      <rPr>
        <sz val="9"/>
        <color theme="1"/>
        <rFont val="Calibri"/>
        <family val="2"/>
      </rPr>
      <t xml:space="preserve"> </t>
    </r>
    <r>
      <rPr>
        <sz val="9"/>
        <color theme="1"/>
        <rFont val="맑은 고딕"/>
        <family val="3"/>
        <charset val="129"/>
      </rPr>
      <t>작업에</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캘린더를</t>
    </r>
    <r>
      <rPr>
        <sz val="9"/>
        <color theme="1"/>
        <rFont val="Calibri"/>
        <family val="2"/>
      </rPr>
      <t xml:space="preserve"> </t>
    </r>
    <r>
      <rPr>
        <sz val="9"/>
        <color theme="1"/>
        <rFont val="맑은 고딕"/>
        <family val="3"/>
        <charset val="129"/>
      </rPr>
      <t>지정하고</t>
    </r>
    <r>
      <rPr>
        <sz val="9"/>
        <color theme="1"/>
        <rFont val="Calibri"/>
        <family val="2"/>
      </rPr>
      <t xml:space="preserve"> </t>
    </r>
    <r>
      <rPr>
        <sz val="9"/>
        <color theme="1"/>
        <rFont val="맑은 고딕"/>
        <family val="3"/>
        <charset val="129"/>
      </rPr>
      <t>싶으면</t>
    </r>
    <r>
      <rPr>
        <sz val="9"/>
        <color theme="1"/>
        <rFont val="Calibri"/>
        <family val="2"/>
      </rPr>
      <t xml:space="preserve"> "</t>
    </r>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1", "</t>
    </r>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2"</t>
    </r>
    <r>
      <rPr>
        <sz val="9"/>
        <color theme="1"/>
        <rFont val="맑은 고딕"/>
        <family val="3"/>
        <charset val="129"/>
      </rPr>
      <t>에</t>
    </r>
    <r>
      <rPr>
        <sz val="9"/>
        <color theme="1"/>
        <rFont val="Calibri"/>
        <family val="2"/>
      </rPr>
      <t xml:space="preserve"> </t>
    </r>
    <r>
      <rPr>
        <sz val="9"/>
        <color theme="1"/>
        <rFont val="맑은 고딕"/>
        <family val="3"/>
        <charset val="129"/>
      </rPr>
      <t>휴무일을</t>
    </r>
    <r>
      <rPr>
        <sz val="9"/>
        <color theme="1"/>
        <rFont val="Calibri"/>
        <family val="2"/>
      </rPr>
      <t xml:space="preserve"> </t>
    </r>
    <r>
      <rPr>
        <sz val="9"/>
        <color theme="1"/>
        <rFont val="맑은 고딕"/>
        <family val="3"/>
        <charset val="129"/>
      </rPr>
      <t>지정하여</t>
    </r>
    <r>
      <rPr>
        <sz val="9"/>
        <color theme="1"/>
        <rFont val="Calibri"/>
        <family val="2"/>
      </rPr>
      <t xml:space="preserve"> </t>
    </r>
    <r>
      <rPr>
        <sz val="9"/>
        <color theme="1"/>
        <rFont val="맑은 고딕"/>
        <family val="3"/>
        <charset val="129"/>
      </rPr>
      <t>사용합니다</t>
    </r>
    <r>
      <rPr>
        <sz val="9"/>
        <color theme="1"/>
        <rFont val="Calibri"/>
        <family val="2"/>
      </rPr>
      <t>.</t>
    </r>
    <phoneticPr fontId="11"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</si>
  <si>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11" type="noConversion"/>
  </si>
  <si>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시작일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시작일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빠릅니다</t>
    </r>
    <r>
      <rPr>
        <sz val="9"/>
        <color theme="1"/>
        <rFont val="Calibri"/>
        <family val="2"/>
      </rPr>
      <t>.\n\n</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t>
    </r>
    <r>
      <rPr>
        <sz val="9"/>
        <color theme="1"/>
        <rFont val="Calibri"/>
        <family val="2"/>
      </rPr>
      <t>({3})</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완료일</t>
    </r>
    <r>
      <rPr>
        <sz val="9"/>
        <color theme="1"/>
        <rFont val="Calibri"/>
        <family val="2"/>
      </rPr>
      <t>({4})</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늦습니다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</si>
  <si>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11" type="noConversion"/>
  </si>
  <si>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 - </t>
    </r>
    <r>
      <rPr>
        <sz val="9"/>
        <color theme="1"/>
        <rFont val="맑은 고딕"/>
        <family val="3"/>
        <charset val="129"/>
      </rPr>
      <t>파일이</t>
    </r>
    <r>
      <rPr>
        <sz val="9"/>
        <color theme="1"/>
        <rFont val="Calibri"/>
        <family val="2"/>
      </rPr>
      <t xml:space="preserve"> </t>
    </r>
    <r>
      <rPr>
        <sz val="9"/>
        <color theme="1"/>
        <rFont val="맑은 고딕"/>
        <family val="3"/>
        <charset val="129"/>
      </rPr>
      <t>비정상적인</t>
    </r>
    <r>
      <rPr>
        <sz val="9"/>
        <color theme="1"/>
        <rFont val="Calibri"/>
        <family val="2"/>
      </rPr>
      <t xml:space="preserve"> </t>
    </r>
    <r>
      <rPr>
        <sz val="9"/>
        <color theme="1"/>
        <rFont val="맑은 고딕"/>
        <family val="3"/>
        <charset val="129"/>
      </rPr>
      <t>경우</t>
    </r>
    <r>
      <rPr>
        <sz val="9"/>
        <color theme="1"/>
        <rFont val="Calibri"/>
        <family val="2"/>
      </rPr>
      <t>(</t>
    </r>
    <r>
      <rPr>
        <sz val="9"/>
        <color theme="1"/>
        <rFont val="맑은 고딕"/>
        <family val="3"/>
        <charset val="129"/>
      </rPr>
      <t>엑셀파일이</t>
    </r>
    <r>
      <rPr>
        <sz val="9"/>
        <color theme="1"/>
        <rFont val="Calibri"/>
        <family val="2"/>
      </rPr>
      <t xml:space="preserve"> </t>
    </r>
    <r>
      <rPr>
        <sz val="9"/>
        <color theme="1"/>
        <rFont val="맑은 고딕"/>
        <family val="3"/>
        <charset val="129"/>
      </rPr>
      <t>손상된</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등</t>
    </r>
    <r>
      <rPr>
        <sz val="9"/>
        <color theme="1"/>
        <rFont val="Calibri"/>
        <family val="2"/>
      </rPr>
      <t xml:space="preserve">)\n - </t>
    </r>
    <r>
      <rPr>
        <sz val="9"/>
        <color theme="1"/>
        <rFont val="맑은 고딕"/>
        <family val="3"/>
        <charset val="129"/>
      </rPr>
      <t>자료</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틀린</t>
    </r>
    <r>
      <rPr>
        <sz val="9"/>
        <color theme="1"/>
        <rFont val="Calibri"/>
        <family val="2"/>
      </rPr>
      <t xml:space="preserve"> </t>
    </r>
    <r>
      <rPr>
        <sz val="9"/>
        <color theme="1"/>
        <rFont val="맑은 고딕"/>
        <family val="3"/>
        <charset val="129"/>
      </rPr>
      <t>경우</t>
    </r>
    <r>
      <rPr>
        <sz val="9"/>
        <color theme="1"/>
        <rFont val="Calibri"/>
        <family val="2"/>
      </rPr>
      <t>(1</t>
    </r>
    <r>
      <rPr>
        <sz val="9"/>
        <color theme="1"/>
        <rFont val="맑은 고딕"/>
        <family val="3"/>
        <charset val="129"/>
      </rPr>
      <t>행에</t>
    </r>
    <r>
      <rPr>
        <sz val="9"/>
        <color theme="1"/>
        <rFont val="Calibri"/>
        <family val="2"/>
      </rPr>
      <t xml:space="preserve"> </t>
    </r>
    <r>
      <rPr>
        <sz val="9"/>
        <color theme="1"/>
        <rFont val="맑은 고딕"/>
        <family val="3"/>
        <charset val="129"/>
      </rPr>
      <t>제목</t>
    </r>
    <r>
      <rPr>
        <sz val="9"/>
        <color theme="1"/>
        <rFont val="Calibri"/>
        <family val="2"/>
      </rPr>
      <t>, 2</t>
    </r>
    <r>
      <rPr>
        <sz val="9"/>
        <color theme="1"/>
        <rFont val="맑은 고딕"/>
        <family val="3"/>
        <charset val="129"/>
      </rPr>
      <t>행부터</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들어가</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포맷</t>
    </r>
    <r>
      <rPr>
        <sz val="9"/>
        <color theme="1"/>
        <rFont val="Calibri"/>
        <family val="2"/>
      </rPr>
      <t xml:space="preserve"> </t>
    </r>
    <r>
      <rPr>
        <sz val="9"/>
        <color theme="1"/>
        <rFont val="맑은 고딕"/>
        <family val="3"/>
        <charset val="129"/>
      </rPr>
      <t>또는</t>
    </r>
    <r>
      <rPr>
        <sz val="9"/>
        <color theme="1"/>
        <rFont val="Calibri"/>
        <family val="2"/>
      </rPr>
      <t xml:space="preserve"> XLGantt </t>
    </r>
    <r>
      <rPr>
        <sz val="9"/>
        <color theme="1"/>
        <rFont val="맑은 고딕"/>
        <family val="3"/>
        <charset val="129"/>
      </rPr>
      <t>파일만</t>
    </r>
    <r>
      <rPr>
        <sz val="9"/>
        <color theme="1"/>
        <rFont val="Calibri"/>
        <family val="2"/>
      </rPr>
      <t xml:space="preserve"> </t>
    </r>
    <r>
      <rPr>
        <sz val="9"/>
        <color theme="1"/>
        <rFont val="맑은 고딕"/>
        <family val="3"/>
        <charset val="129"/>
      </rPr>
      <t>허용</t>
    </r>
    <r>
      <rPr>
        <sz val="9"/>
        <color theme="1"/>
        <rFont val="Calibri"/>
        <family val="2"/>
      </rPr>
      <t xml:space="preserve">)\n - </t>
    </r>
    <r>
      <rPr>
        <sz val="9"/>
        <color theme="1"/>
        <rFont val="맑은 고딕"/>
        <family val="3"/>
        <charset val="129"/>
      </rPr>
      <t>이미</t>
    </r>
    <r>
      <rPr>
        <sz val="9"/>
        <color theme="1"/>
        <rFont val="Calibri"/>
        <family val="2"/>
      </rPr>
      <t xml:space="preserve"> </t>
    </r>
    <r>
      <rPr>
        <sz val="9"/>
        <color theme="1"/>
        <rFont val="맑은 고딕"/>
        <family val="3"/>
        <charset val="129"/>
      </rPr>
      <t>열려있는</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또</t>
    </r>
    <r>
      <rPr>
        <sz val="9"/>
        <color theme="1"/>
        <rFont val="Calibri"/>
        <family val="2"/>
      </rPr>
      <t xml:space="preserve"> </t>
    </r>
    <r>
      <rPr>
        <sz val="9"/>
        <color theme="1"/>
        <rFont val="맑은 고딕"/>
        <family val="3"/>
        <charset val="129"/>
      </rPr>
      <t>열다가</t>
    </r>
    <r>
      <rPr>
        <sz val="9"/>
        <color theme="1"/>
        <rFont val="Calibri"/>
        <family val="2"/>
      </rPr>
      <t xml:space="preserve"> </t>
    </r>
    <r>
      <rPr>
        <sz val="9"/>
        <color theme="1"/>
        <rFont val="맑은 고딕"/>
        <family val="3"/>
        <charset val="129"/>
      </rPr>
      <t>취소하는</t>
    </r>
    <r>
      <rPr>
        <sz val="9"/>
        <color theme="1"/>
        <rFont val="Calibri"/>
        <family val="2"/>
      </rPr>
      <t xml:space="preserve"> </t>
    </r>
    <r>
      <rPr>
        <sz val="9"/>
        <color theme="1"/>
        <rFont val="맑은 고딕"/>
        <family val="3"/>
        <charset val="129"/>
      </rPr>
      <t>경우</t>
    </r>
    <r>
      <rPr>
        <sz val="9"/>
        <color theme="1"/>
        <rFont val="Calibri"/>
        <family val="2"/>
      </rPr>
      <t xml:space="preserve">\n\n </t>
    </r>
    <r>
      <rPr>
        <sz val="9"/>
        <color theme="1"/>
        <rFont val="맑은 고딕"/>
        <family val="3"/>
        <charset val="129"/>
      </rPr>
      <t>자세한</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확인하시기</t>
    </r>
    <r>
      <rPr>
        <sz val="9"/>
        <color theme="1"/>
        <rFont val="Calibri"/>
        <family val="2"/>
      </rPr>
      <t xml:space="preserve"> </t>
    </r>
    <r>
      <rPr>
        <sz val="9"/>
        <color theme="1"/>
        <rFont val="맑은 고딕"/>
        <family val="3"/>
        <charset val="129"/>
      </rPr>
      <t>바랍니다</t>
    </r>
    <r>
      <rPr>
        <sz val="9"/>
        <color theme="1"/>
        <rFont val="Calibri"/>
        <family val="2"/>
      </rPr>
      <t>.</t>
    </r>
  </si>
  <si>
    <t>* You can import  files created in XLGantt._x000D_
* You can import files if the version is 0.9.7 or higher than 0.9.7_x000D_
* You can import up to 10,000 records._x000D_
* You can import multiple files simultaneously.</t>
    <phoneticPr fontId="11" type="noConversion"/>
  </si>
  <si>
    <r>
      <t xml:space="preserve">* </t>
    </r>
    <r>
      <rPr>
        <sz val="9"/>
        <color theme="1"/>
        <rFont val="맑은 고딕"/>
        <family val="3"/>
        <charset val="129"/>
      </rPr>
      <t>가져올</t>
    </r>
    <r>
      <rPr>
        <sz val="9"/>
        <color theme="1"/>
        <rFont val="Calibri"/>
        <family val="2"/>
      </rPr>
      <t xml:space="preserve"> </t>
    </r>
    <r>
      <rPr>
        <sz val="9"/>
        <color theme="1"/>
        <rFont val="맑은 고딕"/>
        <family val="3"/>
        <charset val="129"/>
      </rPr>
      <t>파일이</t>
    </r>
    <r>
      <rPr>
        <sz val="9"/>
        <color theme="1"/>
        <rFont val="Calibri"/>
        <family val="2"/>
      </rPr>
      <t xml:space="preserve"> 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경우만</t>
    </r>
    <r>
      <rPr>
        <sz val="9"/>
        <color theme="1"/>
        <rFont val="Calibri"/>
        <family val="2"/>
      </rPr>
      <t xml:space="preserve"> </t>
    </r>
    <r>
      <rPr>
        <sz val="9"/>
        <color theme="1"/>
        <rFont val="맑은 고딕"/>
        <family val="3"/>
        <charset val="129"/>
      </rPr>
      <t xml:space="preserve">가능_x000D_
</t>
    </r>
    <r>
      <rPr>
        <sz val="9"/>
        <color theme="1"/>
        <rFont val="Calibri"/>
        <family val="2"/>
      </rPr>
      <t>\n* XLGantt</t>
    </r>
    <r>
      <rPr>
        <sz val="9"/>
        <color theme="1"/>
        <rFont val="맑은 고딕"/>
        <family val="3"/>
        <charset val="129"/>
      </rPr>
      <t>의</t>
    </r>
    <r>
      <rPr>
        <sz val="9"/>
        <color theme="1"/>
        <rFont val="Calibri"/>
        <family val="2"/>
      </rPr>
      <t xml:space="preserve"> </t>
    </r>
    <r>
      <rPr>
        <sz val="9"/>
        <color theme="1"/>
        <rFont val="맑은 고딕"/>
        <family val="3"/>
        <charset val="129"/>
      </rPr>
      <t>버전이</t>
    </r>
    <r>
      <rPr>
        <sz val="9"/>
        <color theme="1"/>
        <rFont val="Calibri"/>
        <family val="2"/>
      </rPr>
      <t xml:space="preserve"> 0.9.7 </t>
    </r>
    <r>
      <rPr>
        <sz val="9"/>
        <color theme="1"/>
        <rFont val="맑은 고딕"/>
        <family val="3"/>
        <charset val="129"/>
      </rPr>
      <t>이상인</t>
    </r>
    <r>
      <rPr>
        <sz val="9"/>
        <color theme="1"/>
        <rFont val="Calibri"/>
        <family val="2"/>
      </rPr>
      <t xml:space="preserve"> </t>
    </r>
    <r>
      <rPr>
        <sz val="9"/>
        <color theme="1"/>
        <rFont val="맑은 고딕"/>
        <family val="3"/>
        <charset val="129"/>
      </rPr>
      <t>경우만</t>
    </r>
    <r>
      <rPr>
        <sz val="9"/>
        <color theme="1"/>
        <rFont val="Calibri"/>
        <family val="2"/>
      </rPr>
      <t xml:space="preserve"> </t>
    </r>
    <r>
      <rPr>
        <sz val="9"/>
        <color theme="1"/>
        <rFont val="맑은 고딕"/>
        <family val="3"/>
        <charset val="129"/>
      </rPr>
      <t>가능</t>
    </r>
    <r>
      <rPr>
        <sz val="9"/>
        <color theme="1"/>
        <rFont val="Calibri"/>
        <family val="2"/>
      </rPr>
      <t xml:space="preserve">\n* </t>
    </r>
    <r>
      <rPr>
        <sz val="9"/>
        <color theme="1"/>
        <rFont val="맑은 고딕"/>
        <family val="3"/>
        <charset val="129"/>
      </rPr>
      <t>자료의</t>
    </r>
    <r>
      <rPr>
        <sz val="9"/>
        <color theme="1"/>
        <rFont val="Calibri"/>
        <family val="2"/>
      </rPr>
      <t xml:space="preserve"> </t>
    </r>
    <r>
      <rPr>
        <sz val="9"/>
        <color theme="1"/>
        <rFont val="맑은 고딕"/>
        <family val="3"/>
        <charset val="129"/>
      </rPr>
      <t>갯수는</t>
    </r>
    <r>
      <rPr>
        <sz val="9"/>
        <color theme="1"/>
        <rFont val="Calibri"/>
        <family val="2"/>
      </rPr>
      <t xml:space="preserve"> 10,000</t>
    </r>
    <r>
      <rPr>
        <sz val="9"/>
        <color theme="1"/>
        <rFont val="맑은 고딕"/>
        <family val="3"/>
        <charset val="129"/>
      </rPr>
      <t>개</t>
    </r>
    <r>
      <rPr>
        <sz val="9"/>
        <color theme="1"/>
        <rFont val="Calibri"/>
        <family val="2"/>
      </rPr>
      <t xml:space="preserve"> </t>
    </r>
    <r>
      <rPr>
        <sz val="9"/>
        <color theme="1"/>
        <rFont val="맑은 고딕"/>
        <family val="3"/>
        <charset val="129"/>
      </rPr>
      <t>이하까지만</t>
    </r>
    <r>
      <rPr>
        <sz val="9"/>
        <color theme="1"/>
        <rFont val="Calibri"/>
        <family val="2"/>
      </rPr>
      <t xml:space="preserve"> </t>
    </r>
    <r>
      <rPr>
        <sz val="9"/>
        <color theme="1"/>
        <rFont val="맑은 고딕"/>
        <family val="3"/>
        <charset val="129"/>
      </rPr>
      <t xml:space="preserve">처리됨_x000D_
</t>
    </r>
    <r>
      <rPr>
        <sz val="9"/>
        <color theme="1"/>
        <rFont val="Calibri"/>
        <family val="2"/>
      </rPr>
      <t xml:space="preserve">\n* </t>
    </r>
    <r>
      <rPr>
        <sz val="9"/>
        <color theme="1"/>
        <rFont val="맑은 고딕"/>
        <family val="3"/>
        <charset val="129"/>
      </rPr>
      <t>여러개의</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동시처리</t>
    </r>
    <r>
      <rPr>
        <sz val="9"/>
        <color theme="1"/>
        <rFont val="Calibri"/>
        <family val="2"/>
      </rPr>
      <t xml:space="preserve"> </t>
    </r>
    <r>
      <rPr>
        <sz val="9"/>
        <color theme="1"/>
        <rFont val="맑은 고딕"/>
        <family val="3"/>
        <charset val="129"/>
      </rPr>
      <t xml:space="preserve">가능_x000D_
</t>
    </r>
  </si>
  <si>
    <t>Project duration is too long. The earliest start date is {1} and the latest finish date is {2}, so the project duration is {3} days. The maximum number of days allowed in XLGantt is {4} days. Reduce the project duration to within the limits allowed by XLGantt.</t>
    <phoneticPr fontId="1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</si>
  <si>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기간이</t>
    </r>
    <r>
      <rPr>
        <sz val="9"/>
        <color theme="1"/>
        <rFont val="Calibri"/>
        <family val="2"/>
      </rPr>
      <t xml:space="preserve"> </t>
    </r>
    <r>
      <rPr>
        <sz val="9"/>
        <color theme="1"/>
        <rFont val="맑은 고딕"/>
        <family val="3"/>
        <charset val="129"/>
      </rPr>
      <t>너무</t>
    </r>
    <r>
      <rPr>
        <sz val="9"/>
        <color theme="1"/>
        <rFont val="Calibri"/>
        <family val="2"/>
      </rPr>
      <t xml:space="preserve"> </t>
    </r>
    <r>
      <rPr>
        <sz val="9"/>
        <color theme="1"/>
        <rFont val="맑은 고딕"/>
        <family val="3"/>
        <charset val="129"/>
      </rPr>
      <t>깁니다</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시작일자는</t>
    </r>
    <r>
      <rPr>
        <sz val="9"/>
        <color theme="1"/>
        <rFont val="Calibri"/>
        <family val="2"/>
      </rPr>
      <t xml:space="preserve"> {1}</t>
    </r>
    <r>
      <rPr>
        <sz val="9"/>
        <color theme="1"/>
        <rFont val="맑은 고딕"/>
        <family val="3"/>
        <charset val="129"/>
      </rPr>
      <t>이고</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완료일자는</t>
    </r>
    <r>
      <rPr>
        <sz val="9"/>
        <color theme="1"/>
        <rFont val="Calibri"/>
        <family val="2"/>
      </rPr>
      <t xml:space="preserve"> {2}</t>
    </r>
    <r>
      <rPr>
        <sz val="9"/>
        <color theme="1"/>
        <rFont val="맑은 고딕"/>
        <family val="3"/>
        <charset val="129"/>
      </rPr>
      <t>이므로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기간은</t>
    </r>
    <r>
      <rPr>
        <sz val="9"/>
        <color theme="1"/>
        <rFont val="Calibri"/>
        <family val="2"/>
      </rPr>
      <t xml:space="preserve"> {3}</t>
    </r>
    <r>
      <rPr>
        <sz val="9"/>
        <color theme="1"/>
        <rFont val="맑은 고딕"/>
        <family val="3"/>
        <charset val="129"/>
      </rPr>
      <t>일입니다</t>
    </r>
    <r>
      <rPr>
        <sz val="9"/>
        <color theme="1"/>
        <rFont val="Calibri"/>
        <family val="2"/>
      </rPr>
      <t>. XLGantt</t>
    </r>
    <r>
      <rPr>
        <sz val="9"/>
        <color theme="1"/>
        <rFont val="맑은 고딕"/>
        <family val="3"/>
        <charset val="129"/>
      </rPr>
      <t>에서</t>
    </r>
    <r>
      <rPr>
        <sz val="9"/>
        <color theme="1"/>
        <rFont val="Calibri"/>
        <family val="2"/>
      </rPr>
      <t xml:space="preserve"> </t>
    </r>
    <r>
      <rPr>
        <sz val="9"/>
        <color theme="1"/>
        <rFont val="맑은 고딕"/>
        <family val="3"/>
        <charset val="129"/>
      </rPr>
      <t>허용되는</t>
    </r>
    <r>
      <rPr>
        <sz val="9"/>
        <color theme="1"/>
        <rFont val="Calibri"/>
        <family val="2"/>
      </rPr>
      <t xml:space="preserve"> </t>
    </r>
    <r>
      <rPr>
        <sz val="9"/>
        <color theme="1"/>
        <rFont val="맑은 고딕"/>
        <family val="3"/>
        <charset val="129"/>
      </rPr>
      <t>최대일수는</t>
    </r>
    <r>
      <rPr>
        <sz val="9"/>
        <color theme="1"/>
        <rFont val="Calibri"/>
        <family val="2"/>
      </rPr>
      <t xml:space="preserve"> {4}</t>
    </r>
    <r>
      <rPr>
        <sz val="9"/>
        <color theme="1"/>
        <rFont val="맑은 고딕"/>
        <family val="3"/>
        <charset val="129"/>
      </rPr>
      <t>일입니다</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XLGantt</t>
    </r>
    <r>
      <rPr>
        <sz val="9"/>
        <color theme="1"/>
        <rFont val="맑은 고딕"/>
        <family val="3"/>
        <charset val="129"/>
      </rPr>
      <t>에서</t>
    </r>
    <r>
      <rPr>
        <sz val="9"/>
        <color theme="1"/>
        <rFont val="Calibri"/>
        <family val="2"/>
      </rPr>
      <t xml:space="preserve"> </t>
    </r>
    <r>
      <rPr>
        <sz val="9"/>
        <color theme="1"/>
        <rFont val="맑은 고딕"/>
        <family val="3"/>
        <charset val="129"/>
      </rPr>
      <t>허용하는</t>
    </r>
    <r>
      <rPr>
        <sz val="9"/>
        <color theme="1"/>
        <rFont val="Calibri"/>
        <family val="2"/>
      </rPr>
      <t xml:space="preserve"> </t>
    </r>
    <r>
      <rPr>
        <sz val="9"/>
        <color theme="1"/>
        <rFont val="맑은 고딕"/>
        <family val="3"/>
        <charset val="129"/>
      </rPr>
      <t>범위내로</t>
    </r>
    <r>
      <rPr>
        <sz val="9"/>
        <color theme="1"/>
        <rFont val="Calibri"/>
        <family val="2"/>
      </rPr>
      <t xml:space="preserve"> </t>
    </r>
    <r>
      <rPr>
        <sz val="9"/>
        <color theme="1"/>
        <rFont val="맑은 고딕"/>
        <family val="3"/>
        <charset val="129"/>
      </rPr>
      <t>줄이십시오</t>
    </r>
    <r>
      <rPr>
        <sz val="9"/>
        <color theme="1"/>
        <rFont val="Calibri"/>
        <family val="2"/>
      </rPr>
      <t>.</t>
    </r>
  </si>
  <si>
    <t>Saturdays, Sundays and the dates entered in the Calendar sheet_x000D_</t>
    <phoneticPr fontId="11" type="noConversion"/>
  </si>
  <si>
    <r>
      <rPr>
        <sz val="9"/>
        <color theme="1"/>
        <rFont val="맑은 고딕"/>
        <family val="3"/>
        <charset val="129"/>
      </rPr>
      <t>토요일</t>
    </r>
    <r>
      <rPr>
        <sz val="9"/>
        <color theme="1"/>
        <rFont val="Calibri"/>
        <family val="2"/>
      </rPr>
      <t>,</t>
    </r>
    <r>
      <rPr>
        <sz val="9"/>
        <color theme="1"/>
        <rFont val="맑은 고딕"/>
        <family val="3"/>
        <charset val="129"/>
      </rPr>
      <t>일요일</t>
    </r>
    <r>
      <rPr>
        <sz val="9"/>
        <color theme="1"/>
        <rFont val="Calibri"/>
        <family val="2"/>
      </rPr>
      <t xml:space="preserve"> </t>
    </r>
    <r>
      <rPr>
        <sz val="9"/>
        <color theme="1"/>
        <rFont val="맑은 고딕"/>
        <family val="3"/>
        <charset val="129"/>
      </rPr>
      <t>및</t>
    </r>
    <r>
      <rPr>
        <sz val="9"/>
        <color theme="1"/>
        <rFont val="Calibri"/>
        <family val="2"/>
      </rPr>
      <t xml:space="preserve"> Calendar sheet</t>
    </r>
    <r>
      <rPr>
        <sz val="9"/>
        <color theme="1"/>
        <rFont val="맑은 고딕"/>
        <family val="3"/>
        <charset val="129"/>
      </rPr>
      <t>에</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날짜_x000D_</t>
    </r>
    <phoneticPr fontId="11" type="noConversion"/>
  </si>
  <si>
    <t>reserved index, for help sheet</t>
    <phoneticPr fontId="11"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</si>
  <si>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11" type="noConversion"/>
  </si>
  <si>
    <r>
      <rPr>
        <sz val="9"/>
        <color theme="1"/>
        <rFont val="맑은 고딕"/>
        <family val="3"/>
        <charset val="129"/>
      </rPr>
      <t>엑셀간트</t>
    </r>
    <r>
      <rPr>
        <sz val="9"/>
        <color theme="1"/>
        <rFont val="Calibri"/>
        <family val="2"/>
      </rPr>
      <t>(XLGantt)</t>
    </r>
    <r>
      <rPr>
        <sz val="9"/>
        <color theme="1"/>
        <rFont val="맑은 고딕"/>
        <family val="3"/>
        <charset val="129"/>
      </rPr>
      <t>는</t>
    </r>
    <r>
      <rPr>
        <sz val="9"/>
        <color theme="1"/>
        <rFont val="Calibri"/>
        <family val="2"/>
      </rPr>
      <t xml:space="preserve"> </t>
    </r>
    <r>
      <rPr>
        <sz val="9"/>
        <color theme="1"/>
        <rFont val="맑은 고딕"/>
        <family val="3"/>
        <charset val="129"/>
      </rPr>
      <t>마이크로소프트</t>
    </r>
    <r>
      <rPr>
        <sz val="9"/>
        <color theme="1"/>
        <rFont val="Calibri"/>
        <family val="2"/>
      </rPr>
      <t xml:space="preserve"> </t>
    </r>
    <r>
      <rPr>
        <sz val="9"/>
        <color theme="1"/>
        <rFont val="맑은 고딕"/>
        <family val="3"/>
        <charset val="129"/>
      </rPr>
      <t>엑셀에서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일정관리를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있도록</t>
    </r>
    <r>
      <rPr>
        <sz val="9"/>
        <color theme="1"/>
        <rFont val="Calibri"/>
        <family val="2"/>
      </rPr>
      <t xml:space="preserve"> </t>
    </r>
    <r>
      <rPr>
        <sz val="9"/>
        <color theme="1"/>
        <rFont val="맑은 고딕"/>
        <family val="3"/>
        <charset val="129"/>
      </rPr>
      <t>만들어진</t>
    </r>
    <r>
      <rPr>
        <sz val="9"/>
        <color theme="1"/>
        <rFont val="Calibri"/>
        <family val="2"/>
      </rPr>
      <t xml:space="preserve"> </t>
    </r>
    <r>
      <rPr>
        <sz val="9"/>
        <color theme="1"/>
        <rFont val="맑은 고딕"/>
        <family val="3"/>
        <charset val="129"/>
      </rPr>
      <t>프로그램이며</t>
    </r>
    <r>
      <rPr>
        <sz val="9"/>
        <color theme="1"/>
        <rFont val="Calibri"/>
        <family val="2"/>
      </rPr>
      <t xml:space="preserve"> </t>
    </r>
    <r>
      <rPr>
        <sz val="9"/>
        <color theme="1"/>
        <rFont val="맑은 고딕"/>
        <family val="3"/>
        <charset val="129"/>
      </rPr>
      <t>아래와</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기능으로</t>
    </r>
    <r>
      <rPr>
        <sz val="9"/>
        <color theme="1"/>
        <rFont val="Calibri"/>
        <family val="2"/>
      </rPr>
      <t xml:space="preserve"> </t>
    </r>
    <r>
      <rPr>
        <sz val="9"/>
        <color theme="1"/>
        <rFont val="맑은 고딕"/>
        <family val="3"/>
        <charset val="129"/>
      </rPr>
      <t>구성되어</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엑셀</t>
    </r>
    <r>
      <rPr>
        <sz val="9"/>
        <color theme="1"/>
        <rFont val="Calibri"/>
        <family val="2"/>
      </rPr>
      <t xml:space="preserve"> VBA</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매크로</t>
    </r>
    <r>
      <rPr>
        <sz val="9"/>
        <color theme="1"/>
        <rFont val="Calibri"/>
        <family val="2"/>
      </rPr>
      <t xml:space="preserve"> </t>
    </r>
    <r>
      <rPr>
        <sz val="9"/>
        <color theme="1"/>
        <rFont val="맑은 고딕"/>
        <family val="3"/>
        <charset val="129"/>
      </rPr>
      <t>프로그램이므로</t>
    </r>
    <r>
      <rPr>
        <sz val="9"/>
        <color theme="1"/>
        <rFont val="Calibri"/>
        <family val="2"/>
      </rPr>
      <t xml:space="preserve"> </t>
    </r>
    <r>
      <rPr>
        <sz val="9"/>
        <color theme="1"/>
        <rFont val="맑은 고딕"/>
        <family val="3"/>
        <charset val="129"/>
      </rPr>
      <t>설치가</t>
    </r>
    <r>
      <rPr>
        <sz val="9"/>
        <color theme="1"/>
        <rFont val="Calibri"/>
        <family val="2"/>
      </rPr>
      <t xml:space="preserve"> </t>
    </r>
    <r>
      <rPr>
        <sz val="9"/>
        <color theme="1"/>
        <rFont val="맑은 고딕"/>
        <family val="3"/>
        <charset val="129"/>
      </rPr>
      <t>필요없고</t>
    </r>
    <r>
      <rPr>
        <sz val="9"/>
        <color theme="1"/>
        <rFont val="Calibri"/>
        <family val="2"/>
      </rPr>
      <t xml:space="preserve"> </t>
    </r>
    <r>
      <rPr>
        <sz val="9"/>
        <color theme="1"/>
        <rFont val="맑은 고딕"/>
        <family val="3"/>
        <charset val="129"/>
      </rPr>
      <t>매크로</t>
    </r>
    <r>
      <rPr>
        <sz val="9"/>
        <color theme="1"/>
        <rFont val="Calibri"/>
        <family val="2"/>
      </rPr>
      <t xml:space="preserve"> </t>
    </r>
    <r>
      <rPr>
        <sz val="9"/>
        <color theme="1"/>
        <rFont val="맑은 고딕"/>
        <family val="3"/>
        <charset val="129"/>
      </rPr>
      <t>파일만</t>
    </r>
    <r>
      <rPr>
        <sz val="9"/>
        <color theme="1"/>
        <rFont val="Calibri"/>
        <family val="2"/>
      </rPr>
      <t xml:space="preserve"> </t>
    </r>
    <r>
      <rPr>
        <sz val="9"/>
        <color theme="1"/>
        <rFont val="맑은 고딕"/>
        <family val="3"/>
        <charset val="129"/>
      </rPr>
      <t>실행하면</t>
    </r>
    <r>
      <rPr>
        <sz val="9"/>
        <color theme="1"/>
        <rFont val="Calibri"/>
        <family val="2"/>
      </rPr>
      <t xml:space="preserve"> </t>
    </r>
    <r>
      <rPr>
        <sz val="9"/>
        <color theme="1"/>
        <rFont val="맑은 고딕"/>
        <family val="3"/>
        <charset val="129"/>
      </rPr>
      <t>됩니다</t>
    </r>
    <r>
      <rPr>
        <sz val="9"/>
        <color theme="1"/>
        <rFont val="Calibri"/>
        <family val="2"/>
      </rPr>
      <t>.</t>
    </r>
    <phoneticPr fontId="11"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</si>
  <si>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11" type="noConversion"/>
  </si>
  <si>
    <r>
      <rPr>
        <sz val="9"/>
        <color theme="1"/>
        <rFont val="맑은 고딕"/>
        <family val="3"/>
        <charset val="129"/>
      </rPr>
      <t>엑셀간트는</t>
    </r>
    <r>
      <rPr>
        <sz val="9"/>
        <color theme="1"/>
        <rFont val="Calibri"/>
        <family val="2"/>
      </rPr>
      <t xml:space="preserve"> </t>
    </r>
    <r>
      <rPr>
        <sz val="9"/>
        <color theme="1"/>
        <rFont val="맑은 고딕"/>
        <family val="3"/>
        <charset val="129"/>
      </rPr>
      <t>다국어를</t>
    </r>
    <r>
      <rPr>
        <sz val="9"/>
        <color theme="1"/>
        <rFont val="Calibri"/>
        <family val="2"/>
      </rPr>
      <t xml:space="preserve"> </t>
    </r>
    <r>
      <rPr>
        <sz val="9"/>
        <color theme="1"/>
        <rFont val="맑은 고딕"/>
        <family val="3"/>
        <charset val="129"/>
      </rPr>
      <t>지원하는데</t>
    </r>
    <r>
      <rPr>
        <sz val="9"/>
        <color theme="1"/>
        <rFont val="Calibri"/>
        <family val="2"/>
      </rPr>
      <t xml:space="preserve"> </t>
    </r>
    <r>
      <rPr>
        <sz val="9"/>
        <color theme="1"/>
        <rFont val="맑은 고딕"/>
        <family val="3"/>
        <charset val="129"/>
      </rPr>
      <t>프로그램을</t>
    </r>
    <r>
      <rPr>
        <sz val="9"/>
        <color theme="1"/>
        <rFont val="Calibri"/>
        <family val="2"/>
      </rPr>
      <t xml:space="preserve"> </t>
    </r>
    <r>
      <rPr>
        <sz val="9"/>
        <color theme="1"/>
        <rFont val="맑은 고딕"/>
        <family val="3"/>
        <charset val="129"/>
      </rPr>
      <t>수정하지</t>
    </r>
    <r>
      <rPr>
        <sz val="9"/>
        <color theme="1"/>
        <rFont val="Calibri"/>
        <family val="2"/>
      </rPr>
      <t xml:space="preserve"> </t>
    </r>
    <r>
      <rPr>
        <sz val="9"/>
        <color theme="1"/>
        <rFont val="맑은 고딕"/>
        <family val="3"/>
        <charset val="129"/>
      </rPr>
      <t>않고</t>
    </r>
    <r>
      <rPr>
        <sz val="9"/>
        <color theme="1"/>
        <rFont val="Calibri"/>
        <family val="2"/>
      </rPr>
      <t xml:space="preserve"> </t>
    </r>
    <r>
      <rPr>
        <sz val="9"/>
        <color theme="1"/>
        <rFont val="맑은 고딕"/>
        <family val="3"/>
        <charset val="129"/>
      </rPr>
      <t>여러</t>
    </r>
    <r>
      <rPr>
        <sz val="9"/>
        <color theme="1"/>
        <rFont val="Calibri"/>
        <family val="2"/>
      </rPr>
      <t xml:space="preserve"> </t>
    </r>
    <r>
      <rPr>
        <sz val="9"/>
        <color theme="1"/>
        <rFont val="맑은 고딕"/>
        <family val="3"/>
        <charset val="129"/>
      </rPr>
      <t>다국어를</t>
    </r>
    <r>
      <rPr>
        <sz val="9"/>
        <color theme="1"/>
        <rFont val="Calibri"/>
        <family val="2"/>
      </rPr>
      <t xml:space="preserve"> </t>
    </r>
    <r>
      <rPr>
        <sz val="9"/>
        <color theme="1"/>
        <rFont val="맑은 고딕"/>
        <family val="3"/>
        <charset val="129"/>
      </rPr>
      <t>추가할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현재는</t>
    </r>
    <r>
      <rPr>
        <sz val="9"/>
        <color theme="1"/>
        <rFont val="Calibri"/>
        <family val="2"/>
      </rPr>
      <t xml:space="preserve"> </t>
    </r>
    <r>
      <rPr>
        <sz val="9"/>
        <color theme="1"/>
        <rFont val="맑은 고딕"/>
        <family val="3"/>
        <charset val="129"/>
      </rPr>
      <t>한국어</t>
    </r>
    <r>
      <rPr>
        <sz val="9"/>
        <color theme="1"/>
        <rFont val="Calibri"/>
        <family val="2"/>
      </rPr>
      <t xml:space="preserve">, </t>
    </r>
    <r>
      <rPr>
        <sz val="9"/>
        <color theme="1"/>
        <rFont val="맑은 고딕"/>
        <family val="3"/>
        <charset val="129"/>
      </rPr>
      <t>영어</t>
    </r>
    <r>
      <rPr>
        <sz val="9"/>
        <color theme="1"/>
        <rFont val="Calibri"/>
        <family val="2"/>
      </rPr>
      <t xml:space="preserve"> 2</t>
    </r>
    <r>
      <rPr>
        <sz val="9"/>
        <color theme="1"/>
        <rFont val="맑은 고딕"/>
        <family val="3"/>
        <charset val="129"/>
      </rPr>
      <t>개</t>
    </r>
    <r>
      <rPr>
        <sz val="9"/>
        <color theme="1"/>
        <rFont val="Calibri"/>
        <family val="2"/>
      </rPr>
      <t xml:space="preserve"> </t>
    </r>
    <r>
      <rPr>
        <sz val="9"/>
        <color theme="1"/>
        <rFont val="맑은 고딕"/>
        <family val="3"/>
        <charset val="129"/>
      </rPr>
      <t>국어가</t>
    </r>
    <r>
      <rPr>
        <sz val="9"/>
        <color theme="1"/>
        <rFont val="Calibri"/>
        <family val="2"/>
      </rPr>
      <t xml:space="preserve"> </t>
    </r>
    <r>
      <rPr>
        <sz val="9"/>
        <color theme="1"/>
        <rFont val="맑은 고딕"/>
        <family val="3"/>
        <charset val="129"/>
      </rPr>
      <t>추가되어</t>
    </r>
    <r>
      <rPr>
        <sz val="9"/>
        <color theme="1"/>
        <rFont val="Calibri"/>
        <family val="2"/>
      </rPr>
      <t xml:space="preserve"> </t>
    </r>
    <r>
      <rPr>
        <sz val="9"/>
        <color theme="1"/>
        <rFont val="맑은 고딕"/>
        <family val="3"/>
        <charset val="129"/>
      </rPr>
      <t>있다</t>
    </r>
    <r>
      <rPr>
        <sz val="9"/>
        <color theme="1"/>
        <rFont val="Calibri"/>
        <family val="2"/>
      </rPr>
      <t>.</t>
    </r>
  </si>
  <si>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11" type="noConversion"/>
  </si>
  <si>
    <r>
      <rPr>
        <sz val="9"/>
        <color theme="1"/>
        <rFont val="맑은 고딕"/>
        <family val="3"/>
        <charset val="129"/>
      </rPr>
      <t>한주의</t>
    </r>
    <r>
      <rPr>
        <sz val="9"/>
        <color theme="1"/>
        <rFont val="Calibri"/>
        <family val="2"/>
      </rPr>
      <t xml:space="preserve"> </t>
    </r>
    <r>
      <rPr>
        <sz val="9"/>
        <color theme="1"/>
        <rFont val="맑은 고딕"/>
        <family val="3"/>
        <charset val="129"/>
      </rPr>
      <t>시작요일</t>
    </r>
    <r>
      <rPr>
        <sz val="9"/>
        <color theme="1"/>
        <rFont val="Calibri"/>
        <family val="2"/>
      </rPr>
      <t xml:space="preserve"> </t>
    </r>
    <r>
      <rPr>
        <sz val="9"/>
        <color theme="1"/>
        <rFont val="맑은 고딕"/>
        <family val="3"/>
        <charset val="129"/>
      </rPr>
      <t>지정</t>
    </r>
    <r>
      <rPr>
        <sz val="9"/>
        <color theme="1"/>
        <rFont val="Calibri"/>
        <family val="2"/>
      </rPr>
      <t xml:space="preserve">, </t>
    </r>
    <r>
      <rPr>
        <sz val="9"/>
        <color theme="1"/>
        <rFont val="맑은 고딕"/>
        <family val="3"/>
        <charset val="129"/>
      </rPr>
      <t>휴무일</t>
    </r>
    <r>
      <rPr>
        <sz val="9"/>
        <color theme="1"/>
        <rFont val="Calibri"/>
        <family val="2"/>
      </rPr>
      <t xml:space="preserve"> </t>
    </r>
    <r>
      <rPr>
        <sz val="9"/>
        <color theme="1"/>
        <rFont val="맑은 고딕"/>
        <family val="3"/>
        <charset val="129"/>
      </rPr>
      <t>설정</t>
    </r>
    <r>
      <rPr>
        <sz val="9"/>
        <color theme="1"/>
        <rFont val="Calibri"/>
        <family val="2"/>
      </rPr>
      <t xml:space="preserve">, </t>
    </r>
    <r>
      <rPr>
        <sz val="9"/>
        <color theme="1"/>
        <rFont val="맑은 고딕"/>
        <family val="3"/>
        <charset val="129"/>
      </rPr>
      <t>주차표시</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 xml:space="preserve">.
</t>
    </r>
    <r>
      <rPr>
        <sz val="9"/>
        <color theme="1"/>
        <rFont val="맑은 고딕"/>
        <family val="3"/>
        <charset val="129"/>
      </rPr>
      <t>리본메뉴</t>
    </r>
    <r>
      <rPr>
        <sz val="9"/>
        <color theme="1"/>
        <rFont val="Calibri"/>
        <family val="2"/>
      </rPr>
      <t xml:space="preserve"> &gt; XLGantt – Project Scheduler &gt; </t>
    </r>
    <r>
      <rPr>
        <sz val="9"/>
        <color theme="1"/>
        <rFont val="맑은 고딕"/>
        <family val="3"/>
        <charset val="129"/>
      </rPr>
      <t>옵션</t>
    </r>
    <r>
      <rPr>
        <sz val="9"/>
        <color theme="1"/>
        <rFont val="Calibri"/>
        <family val="2"/>
      </rPr>
      <t xml:space="preserve"> &gt; “Calendar” </t>
    </r>
    <r>
      <rPr>
        <sz val="9"/>
        <color theme="1"/>
        <rFont val="맑은 고딕"/>
        <family val="3"/>
        <charset val="129"/>
      </rPr>
      <t>탭에서</t>
    </r>
    <r>
      <rPr>
        <sz val="9"/>
        <color theme="1"/>
        <rFont val="Calibri"/>
        <family val="2"/>
      </rPr>
      <t xml:space="preserve"> </t>
    </r>
    <r>
      <rPr>
        <sz val="9"/>
        <color theme="1"/>
        <rFont val="맑은 고딕"/>
        <family val="3"/>
        <charset val="129"/>
      </rPr>
      <t>설정할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phoneticPr fontId="11" type="noConversion"/>
  </si>
  <si>
    <t>You can use this feature if you want to see the server's schedule data. If you put the schedule data on the Server into the ServerData sheet and download the XLGantt file and open the XLGantt file, the data comes into the Schedule sheet.</t>
    <phoneticPr fontId="11" type="noConversion"/>
  </si>
  <si>
    <r>
      <t>Server</t>
    </r>
    <r>
      <rPr>
        <sz val="9"/>
        <color theme="1"/>
        <rFont val="맑은 고딕"/>
        <family val="3"/>
        <charset val="129"/>
      </rPr>
      <t>가</t>
    </r>
    <r>
      <rPr>
        <sz val="9"/>
        <color theme="1"/>
        <rFont val="Calibri"/>
        <family val="2"/>
      </rPr>
      <t xml:space="preserve"> </t>
    </r>
    <r>
      <rPr>
        <sz val="9"/>
        <color theme="1"/>
        <rFont val="맑은 고딕"/>
        <family val="3"/>
        <charset val="129"/>
      </rPr>
      <t>별도로</t>
    </r>
    <r>
      <rPr>
        <sz val="9"/>
        <color theme="1"/>
        <rFont val="Calibri"/>
        <family val="2"/>
      </rPr>
      <t xml:space="preserve"> </t>
    </r>
    <r>
      <rPr>
        <sz val="9"/>
        <color theme="1"/>
        <rFont val="맑은 고딕"/>
        <family val="3"/>
        <charset val="129"/>
      </rPr>
      <t>존재하는</t>
    </r>
    <r>
      <rPr>
        <sz val="9"/>
        <color theme="1"/>
        <rFont val="Calibri"/>
        <family val="2"/>
      </rPr>
      <t xml:space="preserve"> IT</t>
    </r>
    <r>
      <rPr>
        <sz val="9"/>
        <color theme="1"/>
        <rFont val="맑은 고딕"/>
        <family val="3"/>
        <charset val="129"/>
      </rPr>
      <t>시스템의</t>
    </r>
    <r>
      <rPr>
        <sz val="9"/>
        <color theme="1"/>
        <rFont val="Calibri"/>
        <family val="2"/>
      </rPr>
      <t xml:space="preserve"> </t>
    </r>
    <r>
      <rPr>
        <sz val="9"/>
        <color theme="1"/>
        <rFont val="맑은 고딕"/>
        <family val="3"/>
        <charset val="129"/>
      </rPr>
      <t>일정관리</t>
    </r>
    <r>
      <rPr>
        <sz val="9"/>
        <color theme="1"/>
        <rFont val="Calibri"/>
        <family val="2"/>
      </rPr>
      <t xml:space="preserve"> </t>
    </r>
    <r>
      <rPr>
        <sz val="9"/>
        <color theme="1"/>
        <rFont val="맑은 고딕"/>
        <family val="3"/>
        <charset val="129"/>
      </rPr>
      <t>데이터를</t>
    </r>
    <r>
      <rPr>
        <sz val="9"/>
        <color theme="1"/>
        <rFont val="Calibri"/>
        <family val="2"/>
      </rPr>
      <t xml:space="preserve"> PC</t>
    </r>
    <r>
      <rPr>
        <sz val="9"/>
        <color theme="1"/>
        <rFont val="맑은 고딕"/>
        <family val="3"/>
        <charset val="129"/>
      </rPr>
      <t>에서</t>
    </r>
    <r>
      <rPr>
        <sz val="9"/>
        <color theme="1"/>
        <rFont val="Calibri"/>
        <family val="2"/>
      </rPr>
      <t xml:space="preserve"> </t>
    </r>
    <r>
      <rPr>
        <sz val="9"/>
        <color theme="1"/>
        <rFont val="맑은 고딕"/>
        <family val="3"/>
        <charset val="129"/>
      </rPr>
      <t>보고자할</t>
    </r>
    <r>
      <rPr>
        <sz val="9"/>
        <color theme="1"/>
        <rFont val="Calibri"/>
        <family val="2"/>
      </rPr>
      <t xml:space="preserve"> </t>
    </r>
    <r>
      <rPr>
        <sz val="9"/>
        <color theme="1"/>
        <rFont val="맑은 고딕"/>
        <family val="3"/>
        <charset val="129"/>
      </rPr>
      <t>때</t>
    </r>
    <r>
      <rPr>
        <sz val="9"/>
        <color theme="1"/>
        <rFont val="Calibri"/>
        <family val="2"/>
      </rPr>
      <t xml:space="preserve"> Server</t>
    </r>
    <r>
      <rPr>
        <sz val="9"/>
        <color theme="1"/>
        <rFont val="맑은 고딕"/>
        <family val="3"/>
        <charset val="129"/>
      </rPr>
      <t>에서</t>
    </r>
    <r>
      <rPr>
        <sz val="9"/>
        <color theme="1"/>
        <rFont val="Calibri"/>
        <family val="2"/>
      </rPr>
      <t xml:space="preserve"> </t>
    </r>
    <r>
      <rPr>
        <sz val="9"/>
        <color theme="1"/>
        <rFont val="맑은 고딕"/>
        <family val="3"/>
        <charset val="129"/>
      </rPr>
      <t>일정관리</t>
    </r>
    <r>
      <rPr>
        <sz val="9"/>
        <color theme="1"/>
        <rFont val="Calibri"/>
        <family val="2"/>
      </rPr>
      <t xml:space="preserve"> </t>
    </r>
    <r>
      <rPr>
        <sz val="9"/>
        <color theme="1"/>
        <rFont val="맑은 고딕"/>
        <family val="3"/>
        <charset val="129"/>
      </rPr>
      <t>데이터를</t>
    </r>
    <r>
      <rPr>
        <sz val="9"/>
        <color theme="1"/>
        <rFont val="Calibri"/>
        <family val="2"/>
      </rPr>
      <t xml:space="preserve"> ServerData </t>
    </r>
    <r>
      <rPr>
        <sz val="9"/>
        <color theme="1"/>
        <rFont val="맑은 고딕"/>
        <family val="3"/>
        <charset val="129"/>
      </rPr>
      <t>시트에</t>
    </r>
    <r>
      <rPr>
        <sz val="9"/>
        <color theme="1"/>
        <rFont val="Calibri"/>
        <family val="2"/>
      </rPr>
      <t xml:space="preserve"> </t>
    </r>
    <r>
      <rPr>
        <sz val="9"/>
        <color theme="1"/>
        <rFont val="맑은 고딕"/>
        <family val="3"/>
        <charset val="129"/>
      </rPr>
      <t>넣은</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다운로드하고</t>
    </r>
    <r>
      <rPr>
        <sz val="9"/>
        <color theme="1"/>
        <rFont val="Calibri"/>
        <family val="2"/>
      </rPr>
      <t xml:space="preserve"> XLGantt </t>
    </r>
    <r>
      <rPr>
        <sz val="9"/>
        <color theme="1"/>
        <rFont val="맑은 고딕"/>
        <family val="3"/>
        <charset val="129"/>
      </rPr>
      <t>파일을</t>
    </r>
    <r>
      <rPr>
        <sz val="9"/>
        <color theme="1"/>
        <rFont val="Calibri"/>
        <family val="2"/>
      </rPr>
      <t xml:space="preserve"> </t>
    </r>
    <r>
      <rPr>
        <sz val="9"/>
        <color theme="1"/>
        <rFont val="맑은 고딕"/>
        <family val="3"/>
        <charset val="129"/>
      </rPr>
      <t>열면</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데이터가</t>
    </r>
    <r>
      <rPr>
        <sz val="9"/>
        <color theme="1"/>
        <rFont val="Calibri"/>
        <family val="2"/>
      </rPr>
      <t xml:space="preserve"> Schedule </t>
    </r>
    <r>
      <rPr>
        <sz val="9"/>
        <color theme="1"/>
        <rFont val="맑은 고딕"/>
        <family val="3"/>
        <charset val="129"/>
      </rPr>
      <t>시트로</t>
    </r>
    <r>
      <rPr>
        <sz val="9"/>
        <color theme="1"/>
        <rFont val="Calibri"/>
        <family val="2"/>
      </rPr>
      <t xml:space="preserve"> </t>
    </r>
    <r>
      <rPr>
        <sz val="9"/>
        <color theme="1"/>
        <rFont val="맑은 고딕"/>
        <family val="3"/>
        <charset val="129"/>
      </rPr>
      <t>들어온다</t>
    </r>
    <r>
      <rPr>
        <sz val="9"/>
        <color theme="1"/>
        <rFont val="Calibri"/>
        <family val="2"/>
      </rPr>
      <t xml:space="preserve">. </t>
    </r>
    <r>
      <rPr>
        <sz val="9"/>
        <color theme="1"/>
        <rFont val="맑은 고딕"/>
        <family val="3"/>
        <charset val="129"/>
      </rPr>
      <t>서버에서</t>
    </r>
    <r>
      <rPr>
        <sz val="9"/>
        <color theme="1"/>
        <rFont val="Calibri"/>
        <family val="2"/>
      </rPr>
      <t xml:space="preserve"> </t>
    </r>
    <r>
      <rPr>
        <sz val="9"/>
        <color theme="1"/>
        <rFont val="맑은 고딕"/>
        <family val="3"/>
        <charset val="129"/>
      </rPr>
      <t>작업연결정보를</t>
    </r>
    <r>
      <rPr>
        <sz val="9"/>
        <color theme="1"/>
        <rFont val="Calibri"/>
        <family val="2"/>
      </rPr>
      <t xml:space="preserve"> </t>
    </r>
    <r>
      <rPr>
        <sz val="9"/>
        <color theme="1"/>
        <rFont val="맑은 고딕"/>
        <family val="3"/>
        <charset val="129"/>
      </rPr>
      <t>내려주면</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연결해서</t>
    </r>
    <r>
      <rPr>
        <sz val="9"/>
        <color theme="1"/>
        <rFont val="Calibri"/>
        <family val="2"/>
      </rPr>
      <t xml:space="preserve"> </t>
    </r>
    <r>
      <rPr>
        <sz val="9"/>
        <color theme="1"/>
        <rFont val="맑은 고딕"/>
        <family val="3"/>
        <charset val="129"/>
      </rPr>
      <t>보여준다</t>
    </r>
    <r>
      <rPr>
        <sz val="9"/>
        <color theme="1"/>
        <rFont val="Calibri"/>
        <family val="2"/>
      </rPr>
      <t>.</t>
    </r>
    <phoneticPr fontId="11"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</si>
  <si>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11" type="noConversion"/>
  </si>
  <si>
    <r>
      <rPr>
        <sz val="9"/>
        <color theme="1"/>
        <rFont val="맑은 고딕"/>
        <family val="3"/>
        <charset val="129"/>
      </rPr>
      <t>본</t>
    </r>
    <r>
      <rPr>
        <sz val="9"/>
        <color theme="1"/>
        <rFont val="Calibri"/>
        <family val="2"/>
      </rPr>
      <t xml:space="preserve"> “</t>
    </r>
    <r>
      <rPr>
        <sz val="9"/>
        <color theme="1"/>
        <rFont val="맑은 고딕"/>
        <family val="3"/>
        <charset val="129"/>
      </rPr>
      <t>소프트웨어</t>
    </r>
    <r>
      <rPr>
        <sz val="9"/>
        <color theme="1"/>
        <rFont val="Calibri"/>
        <family val="2"/>
      </rPr>
      <t>”</t>
    </r>
    <r>
      <rPr>
        <sz val="9"/>
        <color theme="1"/>
        <rFont val="맑은 고딕"/>
        <family val="3"/>
        <charset val="129"/>
      </rPr>
      <t>는</t>
    </r>
    <r>
      <rPr>
        <sz val="9"/>
        <color theme="1"/>
        <rFont val="Calibri"/>
        <family val="2"/>
      </rPr>
      <t xml:space="preserve"> xlworks.net</t>
    </r>
    <r>
      <rPr>
        <sz val="9"/>
        <color theme="1"/>
        <rFont val="맑은 고딕"/>
        <family val="3"/>
        <charset val="129"/>
      </rPr>
      <t>에서</t>
    </r>
    <r>
      <rPr>
        <sz val="9"/>
        <color theme="1"/>
        <rFont val="Calibri"/>
        <family val="2"/>
      </rPr>
      <t xml:space="preserve"> </t>
    </r>
    <r>
      <rPr>
        <sz val="9"/>
        <color theme="1"/>
        <rFont val="맑은 고딕"/>
        <family val="3"/>
        <charset val="129"/>
      </rPr>
      <t>개발하고</t>
    </r>
    <r>
      <rPr>
        <sz val="9"/>
        <color theme="1"/>
        <rFont val="Calibri"/>
        <family val="2"/>
      </rPr>
      <t xml:space="preserve"> </t>
    </r>
    <r>
      <rPr>
        <sz val="9"/>
        <color theme="1"/>
        <rFont val="맑은 고딕"/>
        <family val="3"/>
        <charset val="129"/>
      </rPr>
      <t>배포하는</t>
    </r>
    <r>
      <rPr>
        <sz val="9"/>
        <color theme="1"/>
        <rFont val="Calibri"/>
        <family val="2"/>
      </rPr>
      <t xml:space="preserve"> </t>
    </r>
    <r>
      <rPr>
        <sz val="9"/>
        <color theme="1"/>
        <rFont val="맑은 고딕"/>
        <family val="3"/>
        <charset val="129"/>
      </rPr>
      <t>무료</t>
    </r>
    <r>
      <rPr>
        <sz val="9"/>
        <color theme="1"/>
        <rFont val="Calibri"/>
        <family val="2"/>
      </rPr>
      <t xml:space="preserve"> </t>
    </r>
    <r>
      <rPr>
        <sz val="9"/>
        <color theme="1"/>
        <rFont val="맑은 고딕"/>
        <family val="3"/>
        <charset val="129"/>
      </rPr>
      <t>소프트웨어</t>
    </r>
    <r>
      <rPr>
        <sz val="9"/>
        <color theme="1"/>
        <rFont val="Calibri"/>
        <family val="2"/>
      </rPr>
      <t>(Freeware)</t>
    </r>
    <r>
      <rPr>
        <sz val="9"/>
        <color theme="1"/>
        <rFont val="맑은 고딕"/>
        <family val="3"/>
        <charset val="129"/>
      </rPr>
      <t>입니다</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프로그램은</t>
    </r>
    <r>
      <rPr>
        <sz val="9"/>
        <color theme="1"/>
        <rFont val="Calibri"/>
        <family val="2"/>
      </rPr>
      <t xml:space="preserve"> </t>
    </r>
    <r>
      <rPr>
        <sz val="9"/>
        <color theme="1"/>
        <rFont val="맑은 고딕"/>
        <family val="3"/>
        <charset val="129"/>
      </rPr>
      <t>개인</t>
    </r>
    <r>
      <rPr>
        <sz val="9"/>
        <color theme="1"/>
        <rFont val="Calibri"/>
        <family val="2"/>
      </rPr>
      <t>/</t>
    </r>
    <r>
      <rPr>
        <sz val="9"/>
        <color theme="1"/>
        <rFont val="맑은 고딕"/>
        <family val="3"/>
        <charset val="129"/>
      </rPr>
      <t>기업</t>
    </r>
    <r>
      <rPr>
        <sz val="9"/>
        <color theme="1"/>
        <rFont val="Calibri"/>
        <family val="2"/>
      </rPr>
      <t>/</t>
    </r>
    <r>
      <rPr>
        <sz val="9"/>
        <color theme="1"/>
        <rFont val="맑은 고딕"/>
        <family val="3"/>
        <charset val="129"/>
      </rPr>
      <t>관공서</t>
    </r>
    <r>
      <rPr>
        <sz val="9"/>
        <color theme="1"/>
        <rFont val="Calibri"/>
        <family val="2"/>
      </rPr>
      <t>/</t>
    </r>
    <r>
      <rPr>
        <sz val="9"/>
        <color theme="1"/>
        <rFont val="맑은 고딕"/>
        <family val="3"/>
        <charset val="129"/>
      </rPr>
      <t>학교</t>
    </r>
    <r>
      <rPr>
        <sz val="9"/>
        <color theme="1"/>
        <rFont val="Calibri"/>
        <family val="2"/>
      </rPr>
      <t xml:space="preserve"> </t>
    </r>
    <r>
      <rPr>
        <sz val="9"/>
        <color theme="1"/>
        <rFont val="맑은 고딕"/>
        <family val="3"/>
        <charset val="129"/>
      </rPr>
      <t>등</t>
    </r>
    <r>
      <rPr>
        <sz val="9"/>
        <color theme="1"/>
        <rFont val="Calibri"/>
        <family val="2"/>
      </rPr>
      <t xml:space="preserve"> </t>
    </r>
    <r>
      <rPr>
        <sz val="9"/>
        <color theme="1"/>
        <rFont val="맑은 고딕"/>
        <family val="3"/>
        <charset val="129"/>
      </rPr>
      <t>언제나</t>
    </r>
    <r>
      <rPr>
        <sz val="9"/>
        <color theme="1"/>
        <rFont val="Calibri"/>
        <family val="2"/>
      </rPr>
      <t xml:space="preserve"> </t>
    </r>
    <r>
      <rPr>
        <sz val="9"/>
        <color theme="1"/>
        <rFont val="맑은 고딕"/>
        <family val="3"/>
        <charset val="129"/>
      </rPr>
      <t>어디서나</t>
    </r>
    <r>
      <rPr>
        <sz val="9"/>
        <color theme="1"/>
        <rFont val="Calibri"/>
        <family val="2"/>
      </rPr>
      <t xml:space="preserve"> </t>
    </r>
    <r>
      <rPr>
        <sz val="9"/>
        <color theme="1"/>
        <rFont val="맑은 고딕"/>
        <family val="3"/>
        <charset val="129"/>
      </rPr>
      <t>무료로</t>
    </r>
    <r>
      <rPr>
        <sz val="9"/>
        <color theme="1"/>
        <rFont val="Calibri"/>
        <family val="2"/>
      </rPr>
      <t xml:space="preserve"> </t>
    </r>
    <r>
      <rPr>
        <sz val="9"/>
        <color theme="1"/>
        <rFont val="맑은 고딕"/>
        <family val="3"/>
        <charset val="129"/>
      </rPr>
      <t>사용이</t>
    </r>
    <r>
      <rPr>
        <sz val="9"/>
        <color theme="1"/>
        <rFont val="Calibri"/>
        <family val="2"/>
      </rPr>
      <t xml:space="preserve"> </t>
    </r>
    <r>
      <rPr>
        <sz val="9"/>
        <color theme="1"/>
        <rFont val="맑은 고딕"/>
        <family val="3"/>
        <charset val="129"/>
      </rPr>
      <t>가능합니다</t>
    </r>
    <r>
      <rPr>
        <sz val="9"/>
        <color theme="1"/>
        <rFont val="Calibri"/>
        <family val="2"/>
      </rPr>
      <t xml:space="preserve">. </t>
    </r>
    <r>
      <rPr>
        <sz val="9"/>
        <color theme="1"/>
        <rFont val="맑은 고딕"/>
        <family val="3"/>
        <charset val="129"/>
      </rPr>
      <t>본</t>
    </r>
    <r>
      <rPr>
        <sz val="9"/>
        <color theme="1"/>
        <rFont val="Calibri"/>
        <family val="2"/>
      </rPr>
      <t xml:space="preserve"> “</t>
    </r>
    <r>
      <rPr>
        <sz val="9"/>
        <color theme="1"/>
        <rFont val="맑은 고딕"/>
        <family val="3"/>
        <charset val="129"/>
      </rPr>
      <t>소프트웨어</t>
    </r>
    <r>
      <rPr>
        <sz val="9"/>
        <color theme="1"/>
        <rFont val="Calibri"/>
        <family val="2"/>
      </rPr>
      <t>”</t>
    </r>
    <r>
      <rPr>
        <sz val="9"/>
        <color theme="1"/>
        <rFont val="맑은 고딕"/>
        <family val="3"/>
        <charset val="129"/>
      </rPr>
      <t>는</t>
    </r>
    <r>
      <rPr>
        <sz val="9"/>
        <color theme="1"/>
        <rFont val="Calibri"/>
        <family val="2"/>
      </rPr>
      <t xml:space="preserve"> </t>
    </r>
    <r>
      <rPr>
        <sz val="9"/>
        <color theme="1"/>
        <rFont val="맑은 고딕"/>
        <family val="3"/>
        <charset val="129"/>
      </rPr>
      <t>저작권법과</t>
    </r>
    <r>
      <rPr>
        <sz val="9"/>
        <color theme="1"/>
        <rFont val="Calibri"/>
        <family val="2"/>
      </rPr>
      <t xml:space="preserve"> </t>
    </r>
    <r>
      <rPr>
        <sz val="9"/>
        <color theme="1"/>
        <rFont val="맑은 고딕"/>
        <family val="3"/>
        <charset val="129"/>
      </rPr>
      <t>기타</t>
    </r>
    <r>
      <rPr>
        <sz val="9"/>
        <color theme="1"/>
        <rFont val="Calibri"/>
        <family val="2"/>
      </rPr>
      <t xml:space="preserve"> </t>
    </r>
    <r>
      <rPr>
        <sz val="9"/>
        <color theme="1"/>
        <rFont val="맑은 고딕"/>
        <family val="3"/>
        <charset val="129"/>
      </rPr>
      <t>지적재산권</t>
    </r>
    <r>
      <rPr>
        <sz val="9"/>
        <color theme="1"/>
        <rFont val="Calibri"/>
        <family val="2"/>
      </rPr>
      <t xml:space="preserve"> </t>
    </r>
    <r>
      <rPr>
        <sz val="9"/>
        <color theme="1"/>
        <rFont val="맑은 고딕"/>
        <family val="3"/>
        <charset val="129"/>
      </rPr>
      <t>관련</t>
    </r>
    <r>
      <rPr>
        <sz val="9"/>
        <color theme="1"/>
        <rFont val="Calibri"/>
        <family val="2"/>
      </rPr>
      <t xml:space="preserve"> </t>
    </r>
    <r>
      <rPr>
        <sz val="9"/>
        <color theme="1"/>
        <rFont val="맑은 고딕"/>
        <family val="3"/>
        <charset val="129"/>
      </rPr>
      <t>법률</t>
    </r>
    <r>
      <rPr>
        <sz val="9"/>
        <color theme="1"/>
        <rFont val="Calibri"/>
        <family val="2"/>
      </rPr>
      <t xml:space="preserve"> </t>
    </r>
    <r>
      <rPr>
        <sz val="9"/>
        <color theme="1"/>
        <rFont val="맑은 고딕"/>
        <family val="3"/>
        <charset val="129"/>
      </rPr>
      <t>및</t>
    </r>
    <r>
      <rPr>
        <sz val="9"/>
        <color theme="1"/>
        <rFont val="Calibri"/>
        <family val="2"/>
      </rPr>
      <t xml:space="preserve"> </t>
    </r>
    <r>
      <rPr>
        <sz val="9"/>
        <color theme="1"/>
        <rFont val="맑은 고딕"/>
        <family val="3"/>
        <charset val="129"/>
      </rPr>
      <t>국제</t>
    </r>
    <r>
      <rPr>
        <sz val="9"/>
        <color theme="1"/>
        <rFont val="Calibri"/>
        <family val="2"/>
      </rPr>
      <t xml:space="preserve"> </t>
    </r>
    <r>
      <rPr>
        <sz val="9"/>
        <color theme="1"/>
        <rFont val="맑은 고딕"/>
        <family val="3"/>
        <charset val="129"/>
      </rPr>
      <t>협약에</t>
    </r>
    <r>
      <rPr>
        <sz val="9"/>
        <color theme="1"/>
        <rFont val="Calibri"/>
        <family val="2"/>
      </rPr>
      <t xml:space="preserve"> </t>
    </r>
    <r>
      <rPr>
        <sz val="9"/>
        <color theme="1"/>
        <rFont val="맑은 고딕"/>
        <family val="3"/>
        <charset val="129"/>
      </rPr>
      <t>의해</t>
    </r>
    <r>
      <rPr>
        <sz val="9"/>
        <color theme="1"/>
        <rFont val="Calibri"/>
        <family val="2"/>
      </rPr>
      <t xml:space="preserve"> </t>
    </r>
    <r>
      <rPr>
        <sz val="9"/>
        <color theme="1"/>
        <rFont val="맑은 고딕"/>
        <family val="3"/>
        <charset val="129"/>
      </rPr>
      <t>보호를</t>
    </r>
    <r>
      <rPr>
        <sz val="9"/>
        <color theme="1"/>
        <rFont val="Calibri"/>
        <family val="2"/>
      </rPr>
      <t xml:space="preserve"> </t>
    </r>
    <r>
      <rPr>
        <sz val="9"/>
        <color theme="1"/>
        <rFont val="맑은 고딕"/>
        <family val="3"/>
        <charset val="129"/>
      </rPr>
      <t>받고</t>
    </r>
    <r>
      <rPr>
        <sz val="9"/>
        <color theme="1"/>
        <rFont val="Calibri"/>
        <family val="2"/>
      </rPr>
      <t xml:space="preserve"> </t>
    </r>
    <r>
      <rPr>
        <sz val="9"/>
        <color theme="1"/>
        <rFont val="맑은 고딕"/>
        <family val="3"/>
        <charset val="129"/>
      </rPr>
      <t>있으며</t>
    </r>
    <r>
      <rPr>
        <sz val="9"/>
        <color theme="1"/>
        <rFont val="Calibri"/>
        <family val="2"/>
      </rPr>
      <t xml:space="preserve">, </t>
    </r>
    <r>
      <rPr>
        <sz val="9"/>
        <color theme="1"/>
        <rFont val="맑은 고딕"/>
        <family val="3"/>
        <charset val="129"/>
      </rPr>
      <t>본</t>
    </r>
    <r>
      <rPr>
        <sz val="9"/>
        <color theme="1"/>
        <rFont val="Calibri"/>
        <family val="2"/>
      </rPr>
      <t xml:space="preserve"> “</t>
    </r>
    <r>
      <rPr>
        <sz val="9"/>
        <color theme="1"/>
        <rFont val="맑은 고딕"/>
        <family val="3"/>
        <charset val="129"/>
      </rPr>
      <t>소프트웨어＂를</t>
    </r>
    <r>
      <rPr>
        <sz val="9"/>
        <color theme="1"/>
        <rFont val="Calibri"/>
        <family val="2"/>
      </rPr>
      <t xml:space="preserve"> </t>
    </r>
    <r>
      <rPr>
        <sz val="9"/>
        <color theme="1"/>
        <rFont val="맑은 고딕"/>
        <family val="3"/>
        <charset val="129"/>
      </rPr>
      <t>개작하거나</t>
    </r>
    <r>
      <rPr>
        <sz val="9"/>
        <color theme="1"/>
        <rFont val="Calibri"/>
        <family val="2"/>
      </rPr>
      <t xml:space="preserve"> </t>
    </r>
    <r>
      <rPr>
        <sz val="9"/>
        <color theme="1"/>
        <rFont val="맑은 고딕"/>
        <family val="3"/>
        <charset val="129"/>
      </rPr>
      <t>리버스</t>
    </r>
    <r>
      <rPr>
        <sz val="9"/>
        <color theme="1"/>
        <rFont val="Calibri"/>
        <family val="2"/>
      </rPr>
      <t xml:space="preserve"> </t>
    </r>
    <r>
      <rPr>
        <sz val="9"/>
        <color theme="1"/>
        <rFont val="맑은 고딕"/>
        <family val="3"/>
        <charset val="129"/>
      </rPr>
      <t>엔지니어링</t>
    </r>
    <r>
      <rPr>
        <sz val="9"/>
        <color theme="1"/>
        <rFont val="Calibri"/>
        <family val="2"/>
      </rPr>
      <t xml:space="preserve">, </t>
    </r>
    <r>
      <rPr>
        <sz val="9"/>
        <color theme="1"/>
        <rFont val="맑은 고딕"/>
        <family val="3"/>
        <charset val="129"/>
      </rPr>
      <t>디컴파일</t>
    </r>
    <r>
      <rPr>
        <sz val="9"/>
        <color theme="1"/>
        <rFont val="Calibri"/>
        <family val="2"/>
      </rPr>
      <t xml:space="preserve">, </t>
    </r>
    <r>
      <rPr>
        <sz val="9"/>
        <color theme="1"/>
        <rFont val="맑은 고딕"/>
        <family val="3"/>
        <charset val="129"/>
      </rPr>
      <t>디스어셈블</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소프트웨어의</t>
    </r>
    <r>
      <rPr>
        <sz val="9"/>
        <color theme="1"/>
        <rFont val="Calibri"/>
        <family val="2"/>
      </rPr>
      <t xml:space="preserve"> </t>
    </r>
    <r>
      <rPr>
        <sz val="9"/>
        <color theme="1"/>
        <rFont val="맑은 고딕"/>
        <family val="3"/>
        <charset val="129"/>
      </rPr>
      <t>일부분으로</t>
    </r>
    <r>
      <rPr>
        <sz val="9"/>
        <color theme="1"/>
        <rFont val="Calibri"/>
        <family val="2"/>
      </rPr>
      <t xml:space="preserve"> </t>
    </r>
    <r>
      <rPr>
        <sz val="9"/>
        <color theme="1"/>
        <rFont val="맑은 고딕"/>
        <family val="3"/>
        <charset val="129"/>
      </rPr>
      <t>포함하여</t>
    </r>
    <r>
      <rPr>
        <sz val="9"/>
        <color theme="1"/>
        <rFont val="Calibri"/>
        <family val="2"/>
      </rPr>
      <t xml:space="preserve"> </t>
    </r>
    <r>
      <rPr>
        <sz val="9"/>
        <color theme="1"/>
        <rFont val="맑은 고딕"/>
        <family val="3"/>
        <charset val="129"/>
      </rPr>
      <t>제작</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</si>
  <si>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t>Program error has occurred, this error can occur because of the following:\n\n1. An incorrect value was entered in the Schedule sheet (eg, a value beginning with an equal sign (=) was entered except in the date field).\n\n2. {1}</t>
    <phoneticPr fontId="11" type="noConversion"/>
  </si>
  <si>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오류의</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.\n\n1. Schedule </t>
    </r>
    <r>
      <rPr>
        <sz val="9"/>
        <color theme="1"/>
        <rFont val="맑은 고딕"/>
        <family val="3"/>
        <charset val="129"/>
      </rPr>
      <t>시트에</t>
    </r>
    <r>
      <rPr>
        <sz val="9"/>
        <color theme="1"/>
        <rFont val="Calibri"/>
        <family val="2"/>
      </rPr>
      <t xml:space="preserve"> </t>
    </r>
    <r>
      <rPr>
        <sz val="9"/>
        <color theme="1"/>
        <rFont val="맑은 고딕"/>
        <family val="3"/>
        <charset val="129"/>
      </rPr>
      <t>잘못된</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입력되었습니다</t>
    </r>
    <r>
      <rPr>
        <sz val="9"/>
        <color theme="1"/>
        <rFont val="Calibri"/>
        <family val="2"/>
      </rPr>
      <t>(</t>
    </r>
    <r>
      <rPr>
        <sz val="9"/>
        <color theme="1"/>
        <rFont val="맑은 고딕"/>
        <family val="3"/>
        <charset val="129"/>
      </rPr>
      <t>예</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필드를</t>
    </r>
    <r>
      <rPr>
        <sz val="9"/>
        <color theme="1"/>
        <rFont val="Calibri"/>
        <family val="2"/>
      </rPr>
      <t xml:space="preserve"> </t>
    </r>
    <r>
      <rPr>
        <sz val="9"/>
        <color theme="1"/>
        <rFont val="맑은 고딕"/>
        <family val="3"/>
        <charset val="129"/>
      </rPr>
      <t>제외한</t>
    </r>
    <r>
      <rPr>
        <sz val="9"/>
        <color theme="1"/>
        <rFont val="Calibri"/>
        <family val="2"/>
      </rPr>
      <t xml:space="preserve"> </t>
    </r>
    <r>
      <rPr>
        <sz val="9"/>
        <color theme="1"/>
        <rFont val="맑은 고딕"/>
        <family val="3"/>
        <charset val="129"/>
      </rPr>
      <t>곳에</t>
    </r>
    <r>
      <rPr>
        <sz val="9"/>
        <color theme="1"/>
        <rFont val="Calibri"/>
        <family val="2"/>
      </rPr>
      <t xml:space="preserve"> </t>
    </r>
    <r>
      <rPr>
        <sz val="9"/>
        <color theme="1"/>
        <rFont val="맑은 고딕"/>
        <family val="3"/>
        <charset val="129"/>
      </rPr>
      <t>등호</t>
    </r>
    <r>
      <rPr>
        <sz val="9"/>
        <color theme="1"/>
        <rFont val="Calibri"/>
        <family val="2"/>
      </rPr>
      <t>(=)</t>
    </r>
    <r>
      <rPr>
        <sz val="9"/>
        <color theme="1"/>
        <rFont val="맑은 고딕"/>
        <family val="3"/>
        <charset val="129"/>
      </rPr>
      <t>로</t>
    </r>
    <r>
      <rPr>
        <sz val="9"/>
        <color theme="1"/>
        <rFont val="Calibri"/>
        <family val="2"/>
      </rPr>
      <t xml:space="preserve"> </t>
    </r>
    <r>
      <rPr>
        <sz val="9"/>
        <color theme="1"/>
        <rFont val="맑은 고딕"/>
        <family val="3"/>
        <charset val="129"/>
      </rPr>
      <t>시작하는</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입력됨</t>
    </r>
    <r>
      <rPr>
        <sz val="9"/>
        <color theme="1"/>
        <rFont val="Calibri"/>
        <family val="2"/>
      </rPr>
      <t xml:space="preserve">).\n\n2. {1} </t>
    </r>
    <phoneticPr fontId="11" type="noConversion"/>
  </si>
  <si>
    <t>Program error has occurred.\n\n{1}\nError code:{2}\n\nIf this program file is stored in a cloud storage such as Microsoft OneDrive, move it to a local drive on your PC and use it.</t>
    <phoneticPr fontId="11" type="noConversion"/>
  </si>
  <si>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.\n\n{1}\nError code:{2}\n\n</t>
    </r>
    <r>
      <rPr>
        <sz val="9"/>
        <color theme="1"/>
        <rFont val="맑은 고딕"/>
        <family val="3"/>
        <charset val="129"/>
      </rPr>
      <t>이</t>
    </r>
    <r>
      <rPr>
        <sz val="9"/>
        <color theme="1"/>
        <rFont val="Calibri"/>
        <family val="2"/>
      </rPr>
      <t xml:space="preserve"> </t>
    </r>
    <r>
      <rPr>
        <sz val="9"/>
        <color theme="1"/>
        <rFont val="맑은 고딕"/>
        <family val="3"/>
        <charset val="129"/>
      </rPr>
      <t>프로그램</t>
    </r>
    <r>
      <rPr>
        <sz val="9"/>
        <color theme="1"/>
        <rFont val="Calibri"/>
        <family val="2"/>
      </rPr>
      <t xml:space="preserve"> </t>
    </r>
    <r>
      <rPr>
        <sz val="9"/>
        <color theme="1"/>
        <rFont val="맑은 고딕"/>
        <family val="3"/>
        <charset val="129"/>
      </rPr>
      <t>파일이</t>
    </r>
    <r>
      <rPr>
        <sz val="9"/>
        <color theme="1"/>
        <rFont val="Calibri"/>
        <family val="2"/>
      </rPr>
      <t xml:space="preserve"> Microsoft OneDrive </t>
    </r>
    <r>
      <rPr>
        <sz val="9"/>
        <color theme="1"/>
        <rFont val="맑은 고딕"/>
        <family val="3"/>
        <charset val="129"/>
      </rPr>
      <t>등</t>
    </r>
    <r>
      <rPr>
        <sz val="9"/>
        <color theme="1"/>
        <rFont val="Calibri"/>
        <family val="2"/>
      </rPr>
      <t xml:space="preserve"> </t>
    </r>
    <r>
      <rPr>
        <sz val="9"/>
        <color theme="1"/>
        <rFont val="맑은 고딕"/>
        <family val="3"/>
        <charset val="129"/>
      </rPr>
      <t>클라우드</t>
    </r>
    <r>
      <rPr>
        <sz val="9"/>
        <color theme="1"/>
        <rFont val="Calibri"/>
        <family val="2"/>
      </rPr>
      <t xml:space="preserve"> </t>
    </r>
    <r>
      <rPr>
        <sz val="9"/>
        <color theme="1"/>
        <rFont val="맑은 고딕"/>
        <family val="3"/>
        <charset val="129"/>
      </rPr>
      <t>저장소에</t>
    </r>
    <r>
      <rPr>
        <sz val="9"/>
        <color theme="1"/>
        <rFont val="Calibri"/>
        <family val="2"/>
      </rPr>
      <t xml:space="preserve"> </t>
    </r>
    <r>
      <rPr>
        <sz val="9"/>
        <color theme="1"/>
        <rFont val="맑은 고딕"/>
        <family val="3"/>
        <charset val="129"/>
      </rPr>
      <t>저장되어</t>
    </r>
    <r>
      <rPr>
        <sz val="9"/>
        <color theme="1"/>
        <rFont val="Calibri"/>
        <family val="2"/>
      </rPr>
      <t xml:space="preserve"> </t>
    </r>
    <r>
      <rPr>
        <sz val="9"/>
        <color theme="1"/>
        <rFont val="맑은 고딕"/>
        <family val="3"/>
        <charset val="129"/>
      </rPr>
      <t>있다면</t>
    </r>
    <r>
      <rPr>
        <sz val="9"/>
        <color theme="1"/>
        <rFont val="Calibri"/>
        <family val="2"/>
      </rPr>
      <t xml:space="preserve"> PC</t>
    </r>
    <r>
      <rPr>
        <sz val="9"/>
        <color theme="1"/>
        <rFont val="맑은 고딕"/>
        <family val="3"/>
        <charset val="129"/>
      </rPr>
      <t>의</t>
    </r>
    <r>
      <rPr>
        <sz val="9"/>
        <color theme="1"/>
        <rFont val="Calibri"/>
        <family val="2"/>
      </rPr>
      <t xml:space="preserve"> </t>
    </r>
    <r>
      <rPr>
        <sz val="9"/>
        <color theme="1"/>
        <rFont val="맑은 고딕"/>
        <family val="3"/>
        <charset val="129"/>
      </rPr>
      <t>로컬드라이브로</t>
    </r>
    <r>
      <rPr>
        <sz val="9"/>
        <color theme="1"/>
        <rFont val="Calibri"/>
        <family val="2"/>
      </rPr>
      <t xml:space="preserve"> </t>
    </r>
    <r>
      <rPr>
        <sz val="9"/>
        <color theme="1"/>
        <rFont val="맑은 고딕"/>
        <family val="3"/>
        <charset val="129"/>
      </rPr>
      <t>옮겨서</t>
    </r>
    <r>
      <rPr>
        <sz val="9"/>
        <color theme="1"/>
        <rFont val="Calibri"/>
        <family val="2"/>
      </rPr>
      <t xml:space="preserve"> </t>
    </r>
    <r>
      <rPr>
        <sz val="9"/>
        <color theme="1"/>
        <rFont val="맑은 고딕"/>
        <family val="3"/>
        <charset val="129"/>
      </rPr>
      <t>사용하세요</t>
    </r>
    <r>
      <rPr>
        <sz val="9"/>
        <color theme="1"/>
        <rFont val="Calibri"/>
        <family val="2"/>
      </rPr>
      <t>.</t>
    </r>
    <phoneticPr fontId="11" type="noConversion"/>
  </si>
  <si>
    <t>Program error has occurred.\n\n{1}\nError code:{2}</t>
    <phoneticPr fontId="11" type="noConversion"/>
  </si>
  <si>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.\n\n{1}\nError code:{2}</t>
    </r>
    <phoneticPr fontId="11" type="noConversion"/>
  </si>
  <si>
    <t xml:space="preserve">              From                      To</t>
  </si>
  <si>
    <r>
      <t xml:space="preserve"> Source</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Target</t>
    </r>
    <r>
      <rPr>
        <sz val="9"/>
        <color theme="1"/>
        <rFont val="맑은 고딕"/>
        <family val="3"/>
        <charset val="129"/>
      </rPr>
      <t>필드</t>
    </r>
    <r>
      <rPr>
        <sz val="9"/>
        <color theme="1"/>
        <rFont val="Calibri"/>
        <family val="2"/>
      </rPr>
      <t xml:space="preserve"> </t>
    </r>
    <r>
      <rPr>
        <sz val="9"/>
        <color theme="1"/>
        <rFont val="맑은 고딕"/>
        <family val="3"/>
        <charset val="129"/>
      </rPr>
      <t>명</t>
    </r>
  </si>
  <si>
    <t xml:space="preserve">           Field Name         Example</t>
  </si>
  <si>
    <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
    </r>
    <r>
      <rPr>
        <sz val="9"/>
        <color theme="1"/>
        <rFont val="맑은 고딕"/>
        <family val="3"/>
        <charset val="129"/>
      </rPr>
      <t>값</t>
    </r>
    <r>
      <rPr>
        <sz val="9"/>
        <color theme="1"/>
        <rFont val="Calibri"/>
        <family val="2"/>
      </rPr>
      <t xml:space="preserve"> </t>
    </r>
    <r>
      <rPr>
        <sz val="9"/>
        <color theme="1"/>
        <rFont val="맑은 고딕"/>
        <family val="3"/>
        <charset val="129"/>
      </rPr>
      <t>예시</t>
    </r>
  </si>
  <si>
    <t xml:space="preserve">       Field Name           Field Value</t>
  </si>
  <si>
    <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값</t>
    </r>
  </si>
  <si>
    <t xml:space="preserve"> Mapped</t>
  </si>
  <si>
    <r>
      <t xml:space="preserve"> Mapping</t>
    </r>
    <r>
      <rPr>
        <sz val="9"/>
        <color theme="1"/>
        <rFont val="맑은 고딕"/>
        <family val="3"/>
        <charset val="129"/>
      </rPr>
      <t>된</t>
    </r>
    <r>
      <rPr>
        <sz val="9"/>
        <color theme="1"/>
        <rFont val="Calibri"/>
        <family val="2"/>
      </rPr>
      <t xml:space="preserve"> </t>
    </r>
    <r>
      <rPr>
        <sz val="9"/>
        <color theme="1"/>
        <rFont val="맑은 고딕"/>
        <family val="3"/>
        <charset val="129"/>
      </rPr>
      <t>상태</t>
    </r>
  </si>
  <si>
    <t xml:space="preserve"> Setting nonworking days in the project calendar</t>
  </si>
  <si>
    <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휴무일</t>
    </r>
    <r>
      <rPr>
        <sz val="9"/>
        <color theme="1"/>
        <rFont val="Calibri"/>
        <family val="2"/>
      </rPr>
      <t xml:space="preserve"> Calendar </t>
    </r>
    <r>
      <rPr>
        <sz val="9"/>
        <color theme="1"/>
        <rFont val="맑은 고딕"/>
        <family val="3"/>
        <charset val="129"/>
      </rPr>
      <t>설정</t>
    </r>
  </si>
  <si>
    <t>"%Work Complete" is invalid. Type a number between 0% and 100%.</t>
  </si>
  <si>
    <r>
      <rPr>
        <sz val="9"/>
        <color theme="1"/>
        <rFont val="맑은 고딕"/>
        <family val="3"/>
        <charset val="129"/>
      </rPr>
      <t>실적진척율은</t>
    </r>
    <r>
      <rPr>
        <sz val="9"/>
        <color theme="1"/>
        <rFont val="Calibri"/>
        <family val="2"/>
      </rPr>
      <t xml:space="preserve"> 0~100% </t>
    </r>
    <r>
      <rPr>
        <sz val="9"/>
        <color theme="1"/>
        <rFont val="맑은 고딕"/>
        <family val="3"/>
        <charset val="129"/>
      </rPr>
      <t>범위만</t>
    </r>
    <r>
      <rPr>
        <sz val="9"/>
        <color theme="1"/>
        <rFont val="Calibri"/>
        <family val="2"/>
      </rPr>
      <t xml:space="preserve"> </t>
    </r>
    <r>
      <rPr>
        <sz val="9"/>
        <color theme="1"/>
        <rFont val="맑은 고딕"/>
        <family val="3"/>
        <charset val="129"/>
      </rPr>
      <t>입력가능합니다</t>
    </r>
    <r>
      <rPr>
        <sz val="9"/>
        <color theme="1"/>
        <rFont val="Calibri"/>
        <family val="2"/>
      </rPr>
      <t>.</t>
    </r>
  </si>
  <si>
    <t>"Outline level"(task Level) field. It displays the level of a task.Instead of "Outline level", you can use "WBS".</t>
  </si>
  <si>
    <r>
      <rPr>
        <sz val="9"/>
        <color theme="1"/>
        <rFont val="맑은 고딕"/>
        <family val="3"/>
        <charset val="129"/>
      </rPr>
      <t>개요수준</t>
    </r>
    <r>
      <rPr>
        <sz val="9"/>
        <color theme="1"/>
        <rFont val="Calibri"/>
        <family val="2"/>
      </rPr>
      <t>(</t>
    </r>
    <r>
      <rPr>
        <sz val="9"/>
        <color theme="1"/>
        <rFont val="맑은 고딕"/>
        <family val="3"/>
        <charset val="129"/>
      </rPr>
      <t>작업</t>
    </r>
    <r>
      <rPr>
        <sz val="9"/>
        <color theme="1"/>
        <rFont val="Calibri"/>
        <family val="2"/>
      </rPr>
      <t>Level)</t>
    </r>
    <r>
      <rPr>
        <sz val="9"/>
        <color theme="1"/>
        <rFont val="맑은 고딕"/>
        <family val="3"/>
        <charset val="129"/>
      </rPr>
      <t>필드입니다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예를</t>
    </r>
    <r>
      <rPr>
        <sz val="9"/>
        <color theme="1"/>
        <rFont val="Calibri"/>
        <family val="2"/>
      </rPr>
      <t xml:space="preserve"> </t>
    </r>
    <r>
      <rPr>
        <sz val="9"/>
        <color theme="1"/>
        <rFont val="맑은 고딕"/>
        <family val="3"/>
        <charset val="129"/>
      </rPr>
      <t>들어</t>
    </r>
    <r>
      <rPr>
        <sz val="9"/>
        <color theme="1"/>
        <rFont val="Calibri"/>
        <family val="2"/>
      </rPr>
      <t xml:space="preserve"> 2 Level</t>
    </r>
    <r>
      <rPr>
        <sz val="9"/>
        <color theme="1"/>
        <rFont val="맑은 고딕"/>
        <family val="3"/>
        <charset val="129"/>
      </rPr>
      <t>의</t>
    </r>
    <r>
      <rPr>
        <sz val="9"/>
        <color theme="1"/>
        <rFont val="Calibri"/>
        <family val="2"/>
      </rPr>
      <t xml:space="preserve"> </t>
    </r>
    <r>
      <rPr>
        <sz val="9"/>
        <color theme="1"/>
        <rFont val="맑은 고딕"/>
        <family val="3"/>
        <charset val="129"/>
      </rPr>
      <t>작업이면</t>
    </r>
    <r>
      <rPr>
        <sz val="9"/>
        <color theme="1"/>
        <rFont val="Calibri"/>
        <family val="2"/>
      </rPr>
      <t xml:space="preserve"> </t>
    </r>
    <r>
      <rPr>
        <sz val="9"/>
        <color theme="1"/>
        <rFont val="맑은 고딕"/>
        <family val="3"/>
        <charset val="129"/>
      </rPr>
      <t>숫자</t>
    </r>
    <r>
      <rPr>
        <sz val="9"/>
        <color theme="1"/>
        <rFont val="Calibri"/>
        <family val="2"/>
      </rPr>
      <t xml:space="preserve"> 2</t>
    </r>
    <r>
      <rPr>
        <sz val="9"/>
        <color theme="1"/>
        <rFont val="맑은 고딕"/>
        <family val="3"/>
        <charset val="129"/>
      </rPr>
      <t>로</t>
    </r>
    <r>
      <rPr>
        <sz val="9"/>
        <color theme="1"/>
        <rFont val="Calibri"/>
        <family val="2"/>
      </rPr>
      <t xml:space="preserve"> </t>
    </r>
    <r>
      <rPr>
        <sz val="9"/>
        <color theme="1"/>
        <rFont val="맑은 고딕"/>
        <family val="3"/>
        <charset val="129"/>
      </rPr>
      <t>표시됩니다</t>
    </r>
    <r>
      <rPr>
        <sz val="9"/>
        <color theme="1"/>
        <rFont val="Calibri"/>
        <family val="2"/>
      </rPr>
      <t xml:space="preserve">. </t>
    </r>
    <r>
      <rPr>
        <sz val="9"/>
        <color theme="1"/>
        <rFont val="맑은 고딕"/>
        <family val="3"/>
        <charset val="129"/>
      </rPr>
      <t>개요수준대신</t>
    </r>
    <r>
      <rPr>
        <sz val="9"/>
        <color theme="1"/>
        <rFont val="Calibri"/>
        <family val="2"/>
      </rPr>
      <t xml:space="preserve"> WBS</t>
    </r>
    <r>
      <rPr>
        <sz val="9"/>
        <color theme="1"/>
        <rFont val="맑은 고딕"/>
        <family val="3"/>
        <charset val="129"/>
      </rPr>
      <t>필드</t>
    </r>
    <r>
      <rPr>
        <sz val="9"/>
        <color theme="1"/>
        <rFont val="Calibri"/>
        <family val="2"/>
      </rPr>
      <t xml:space="preserve">(1.3.2 </t>
    </r>
    <r>
      <rPr>
        <sz val="9"/>
        <color theme="1"/>
        <rFont val="맑은 고딕"/>
        <family val="3"/>
        <charset val="129"/>
      </rPr>
      <t>등의</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표시</t>
    </r>
    <r>
      <rPr>
        <sz val="9"/>
        <color theme="1"/>
        <rFont val="Calibri"/>
        <family val="2"/>
      </rPr>
      <t>)</t>
    </r>
    <r>
      <rPr>
        <sz val="9"/>
        <color theme="1"/>
        <rFont val="맑은 고딕"/>
        <family val="3"/>
        <charset val="129"/>
      </rPr>
      <t>를</t>
    </r>
    <r>
      <rPr>
        <sz val="9"/>
        <color theme="1"/>
        <rFont val="Calibri"/>
        <family val="2"/>
      </rPr>
      <t xml:space="preserve"> </t>
    </r>
    <r>
      <rPr>
        <sz val="9"/>
        <color theme="1"/>
        <rFont val="맑은 고딕"/>
        <family val="3"/>
        <charset val="129"/>
      </rPr>
      <t>사용하기도</t>
    </r>
    <r>
      <rPr>
        <sz val="9"/>
        <color theme="1"/>
        <rFont val="Calibri"/>
        <family val="2"/>
      </rPr>
      <t xml:space="preserve"> </t>
    </r>
    <r>
      <rPr>
        <sz val="9"/>
        <color theme="1"/>
        <rFont val="맑은 고딕"/>
        <family val="3"/>
        <charset val="129"/>
      </rPr>
      <t>합니다</t>
    </r>
    <r>
      <rPr>
        <sz val="9"/>
        <color theme="1"/>
        <rFont val="Calibri"/>
        <family val="2"/>
      </rPr>
      <t>.</t>
    </r>
  </si>
  <si>
    <t>"WBS"(Work Breakdown Structure) field. It displays the level of a task. Instead of WBS, you can use "Outline level".</t>
  </si>
  <si>
    <r>
      <t xml:space="preserve">WBS(Work Breakdown Structure) </t>
    </r>
    <r>
      <rPr>
        <sz val="9"/>
        <color theme="1"/>
        <rFont val="맑은 고딕"/>
        <family val="3"/>
        <charset val="129"/>
      </rPr>
      <t>필드입니다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1.3.2 </t>
    </r>
    <r>
      <rPr>
        <sz val="9"/>
        <color theme="1"/>
        <rFont val="맑은 고딕"/>
        <family val="3"/>
        <charset val="129"/>
      </rPr>
      <t>등의</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표시됩니다</t>
    </r>
    <r>
      <rPr>
        <sz val="9"/>
        <color theme="1"/>
        <rFont val="Calibri"/>
        <family val="2"/>
      </rPr>
      <t>. WBS</t>
    </r>
    <r>
      <rPr>
        <sz val="9"/>
        <color theme="1"/>
        <rFont val="맑은 고딕"/>
        <family val="3"/>
        <charset val="129"/>
      </rPr>
      <t>대신</t>
    </r>
    <r>
      <rPr>
        <sz val="9"/>
        <color theme="1"/>
        <rFont val="Calibri"/>
        <family val="2"/>
      </rPr>
      <t xml:space="preserve"> </t>
    </r>
    <r>
      <rPr>
        <sz val="9"/>
        <color theme="1"/>
        <rFont val="맑은 고딕"/>
        <family val="3"/>
        <charset val="129"/>
      </rPr>
      <t>개요수준</t>
    </r>
    <r>
      <rPr>
        <sz val="9"/>
        <color theme="1"/>
        <rFont val="Calibri"/>
        <family val="2"/>
      </rPr>
      <t>(</t>
    </r>
    <r>
      <rPr>
        <sz val="9"/>
        <color theme="1"/>
        <rFont val="맑은 고딕"/>
        <family val="3"/>
        <charset val="129"/>
      </rPr>
      <t>작업</t>
    </r>
    <r>
      <rPr>
        <sz val="9"/>
        <color theme="1"/>
        <rFont val="Calibri"/>
        <family val="2"/>
      </rPr>
      <t>Level)</t>
    </r>
    <r>
      <rPr>
        <sz val="9"/>
        <color theme="1"/>
        <rFont val="맑은 고딕"/>
        <family val="3"/>
        <charset val="129"/>
      </rPr>
      <t>필드를</t>
    </r>
    <r>
      <rPr>
        <sz val="9"/>
        <color theme="1"/>
        <rFont val="Calibri"/>
        <family val="2"/>
      </rPr>
      <t xml:space="preserve"> </t>
    </r>
    <r>
      <rPr>
        <sz val="9"/>
        <color theme="1"/>
        <rFont val="맑은 고딕"/>
        <family val="3"/>
        <charset val="129"/>
      </rPr>
      <t>사용하기도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예를</t>
    </r>
    <r>
      <rPr>
        <sz val="9"/>
        <color theme="1"/>
        <rFont val="Calibri"/>
        <family val="2"/>
      </rPr>
      <t xml:space="preserve"> </t>
    </r>
    <r>
      <rPr>
        <sz val="9"/>
        <color theme="1"/>
        <rFont val="맑은 고딕"/>
        <family val="3"/>
        <charset val="129"/>
      </rPr>
      <t>들어</t>
    </r>
    <r>
      <rPr>
        <sz val="9"/>
        <color theme="1"/>
        <rFont val="Calibri"/>
        <family val="2"/>
      </rPr>
      <t xml:space="preserve"> 2 Level</t>
    </r>
    <r>
      <rPr>
        <sz val="9"/>
        <color theme="1"/>
        <rFont val="맑은 고딕"/>
        <family val="3"/>
        <charset val="129"/>
      </rPr>
      <t>의</t>
    </r>
    <r>
      <rPr>
        <sz val="9"/>
        <color theme="1"/>
        <rFont val="Calibri"/>
        <family val="2"/>
      </rPr>
      <t xml:space="preserve"> </t>
    </r>
    <r>
      <rPr>
        <sz val="9"/>
        <color theme="1"/>
        <rFont val="맑은 고딕"/>
        <family val="3"/>
        <charset val="129"/>
      </rPr>
      <t>작업이면</t>
    </r>
    <r>
      <rPr>
        <sz val="9"/>
        <color theme="1"/>
        <rFont val="Calibri"/>
        <family val="2"/>
      </rPr>
      <t xml:space="preserve"> </t>
    </r>
    <r>
      <rPr>
        <sz val="9"/>
        <color theme="1"/>
        <rFont val="맑은 고딕"/>
        <family val="3"/>
        <charset val="129"/>
      </rPr>
      <t>숫자</t>
    </r>
    <r>
      <rPr>
        <sz val="9"/>
        <color theme="1"/>
        <rFont val="Calibri"/>
        <family val="2"/>
      </rPr>
      <t xml:space="preserve"> 2</t>
    </r>
    <r>
      <rPr>
        <sz val="9"/>
        <color theme="1"/>
        <rFont val="맑은 고딕"/>
        <family val="3"/>
        <charset val="129"/>
      </rPr>
      <t>로</t>
    </r>
    <r>
      <rPr>
        <sz val="9"/>
        <color theme="1"/>
        <rFont val="Calibri"/>
        <family val="2"/>
      </rPr>
      <t xml:space="preserve"> </t>
    </r>
    <r>
      <rPr>
        <sz val="9"/>
        <color theme="1"/>
        <rFont val="맑은 고딕"/>
        <family val="3"/>
        <charset val="129"/>
      </rPr>
      <t>표시됩니다</t>
    </r>
    <r>
      <rPr>
        <sz val="9"/>
        <color theme="1"/>
        <rFont val="Calibri"/>
        <family val="2"/>
      </rPr>
      <t>.</t>
    </r>
  </si>
  <si>
    <t>%Work Complete</t>
  </si>
  <si>
    <r>
      <rPr>
        <sz val="9"/>
        <color theme="1"/>
        <rFont val="맑은 고딕"/>
        <family val="3"/>
        <charset val="129"/>
      </rPr>
      <t>실적진척율</t>
    </r>
  </si>
  <si>
    <t>%Work Complete(B)</t>
  </si>
  <si>
    <r>
      <rPr>
        <sz val="9"/>
        <color theme="1"/>
        <rFont val="맑은 고딕"/>
        <family val="3"/>
        <charset val="129"/>
      </rPr>
      <t>실적</t>
    </r>
    <r>
      <rPr>
        <sz val="9"/>
        <color theme="1"/>
        <rFont val="Calibri"/>
        <family val="2"/>
      </rPr>
      <t xml:space="preserve"> </t>
    </r>
    <r>
      <rPr>
        <sz val="9"/>
        <color theme="1"/>
        <rFont val="맑은 고딕"/>
        <family val="3"/>
        <charset val="129"/>
      </rPr>
      <t>진척율</t>
    </r>
    <r>
      <rPr>
        <sz val="9"/>
        <color theme="1"/>
        <rFont val="Calibri"/>
        <family val="2"/>
      </rPr>
      <t>(B)</t>
    </r>
  </si>
  <si>
    <t>%Work Complete(C/A)</t>
  </si>
  <si>
    <r>
      <rPr>
        <sz val="9"/>
        <color theme="1"/>
        <rFont val="맑은 고딕"/>
        <family val="3"/>
        <charset val="129"/>
      </rPr>
      <t>실적</t>
    </r>
    <r>
      <rPr>
        <sz val="9"/>
        <color theme="1"/>
        <rFont val="Calibri"/>
        <family val="2"/>
      </rPr>
      <t>(C/A)</t>
    </r>
  </si>
  <si>
    <t>for import columun</t>
    <phoneticPr fontId="13" type="noConversion"/>
  </si>
  <si>
    <t>%Work__Complete</t>
    <phoneticPr fontId="13" type="noConversion"/>
  </si>
  <si>
    <r>
      <rPr>
        <sz val="9"/>
        <color theme="1"/>
        <rFont val="맑은 고딕"/>
        <family val="3"/>
        <charset val="129"/>
      </rPr>
      <t>실적</t>
    </r>
  </si>
  <si>
    <t>%Work\nComplete</t>
  </si>
  <si>
    <t>for help sheet</t>
    <phoneticPr fontId="11" type="noConversion"/>
  </si>
  <si>
    <t>(Hidden sheet) Contains language-specific translations.</t>
  </si>
  <si>
    <r>
      <t>(</t>
    </r>
    <r>
      <rPr>
        <sz val="9"/>
        <color theme="1"/>
        <rFont val="맑은 고딕"/>
        <family val="3"/>
        <charset val="129"/>
      </rPr>
      <t>숨겨진</t>
    </r>
    <r>
      <rPr>
        <sz val="9"/>
        <color theme="1"/>
        <rFont val="Calibri"/>
        <family val="2"/>
      </rPr>
      <t xml:space="preserve"> </t>
    </r>
    <r>
      <rPr>
        <sz val="9"/>
        <color theme="1"/>
        <rFont val="맑은 고딕"/>
        <family val="3"/>
        <charset val="129"/>
      </rPr>
      <t>시트</t>
    </r>
    <r>
      <rPr>
        <sz val="9"/>
        <color theme="1"/>
        <rFont val="Calibri"/>
        <family val="2"/>
      </rPr>
      <t xml:space="preserve">) </t>
    </r>
    <r>
      <rPr>
        <sz val="9"/>
        <color theme="1"/>
        <rFont val="맑은 고딕"/>
        <family val="3"/>
        <charset val="129"/>
      </rPr>
      <t>언어별</t>
    </r>
    <r>
      <rPr>
        <sz val="9"/>
        <color theme="1"/>
        <rFont val="Calibri"/>
        <family val="2"/>
      </rPr>
      <t xml:space="preserve"> </t>
    </r>
    <r>
      <rPr>
        <sz val="9"/>
        <color theme="1"/>
        <rFont val="맑은 고딕"/>
        <family val="3"/>
        <charset val="129"/>
      </rPr>
      <t>번역이</t>
    </r>
    <r>
      <rPr>
        <sz val="9"/>
        <color theme="1"/>
        <rFont val="Calibri"/>
        <family val="2"/>
      </rPr>
      <t xml:space="preserve"> </t>
    </r>
    <r>
      <rPr>
        <sz val="9"/>
        <color theme="1"/>
        <rFont val="맑은 고딕"/>
        <family val="3"/>
        <charset val="129"/>
      </rPr>
      <t>들어</t>
    </r>
    <r>
      <rPr>
        <sz val="9"/>
        <color theme="1"/>
        <rFont val="Calibri"/>
        <family val="2"/>
      </rPr>
      <t xml:space="preserve"> </t>
    </r>
    <r>
      <rPr>
        <sz val="9"/>
        <color theme="1"/>
        <rFont val="맑은 고딕"/>
        <family val="3"/>
        <charset val="129"/>
      </rPr>
      <t>있다</t>
    </r>
    <r>
      <rPr>
        <sz val="9"/>
        <color theme="1"/>
        <rFont val="Calibri"/>
        <family val="2"/>
      </rPr>
      <t>.</t>
    </r>
  </si>
  <si>
    <t>(Resources unspecified)</t>
    <phoneticPr fontId="11" type="noConversion"/>
  </si>
  <si>
    <r>
      <t>(</t>
    </r>
    <r>
      <rPr>
        <sz val="9"/>
        <color theme="1"/>
        <rFont val="맑은 고딕"/>
        <family val="3"/>
        <charset val="129"/>
      </rPr>
      <t>담당자미지정</t>
    </r>
    <r>
      <rPr>
        <sz val="9"/>
        <color theme="1"/>
        <rFont val="Calibri"/>
        <family val="2"/>
      </rPr>
      <t>)</t>
    </r>
    <phoneticPr fontId="11" type="noConversion"/>
  </si>
  <si>
    <t>* Automactically calulated if you click the "Update Schedule" button</t>
  </si>
  <si>
    <r>
      <t>* "</t>
    </r>
    <r>
      <rPr>
        <sz val="9"/>
        <color theme="1"/>
        <rFont val="맑은 고딕"/>
        <family val="3"/>
        <charset val="129"/>
      </rPr>
      <t>스케줄업데이트</t>
    </r>
    <r>
      <rPr>
        <sz val="9"/>
        <color theme="1"/>
        <rFont val="Calibri"/>
        <family val="2"/>
      </rPr>
      <t xml:space="preserve">" </t>
    </r>
    <r>
      <rPr>
        <sz val="9"/>
        <color theme="1"/>
        <rFont val="맑은 고딕"/>
        <family val="3"/>
        <charset val="129"/>
      </rPr>
      <t>버튼</t>
    </r>
    <r>
      <rPr>
        <sz val="9"/>
        <color theme="1"/>
        <rFont val="Calibri"/>
        <family val="2"/>
      </rPr>
      <t xml:space="preserve"> </t>
    </r>
    <r>
      <rPr>
        <sz val="9"/>
        <color theme="1"/>
        <rFont val="맑은 고딕"/>
        <family val="3"/>
        <charset val="129"/>
      </rPr>
      <t>클릭</t>
    </r>
    <r>
      <rPr>
        <sz val="9"/>
        <color theme="1"/>
        <rFont val="Calibri"/>
        <family val="2"/>
      </rPr>
      <t xml:space="preserve"> </t>
    </r>
    <r>
      <rPr>
        <sz val="9"/>
        <color theme="1"/>
        <rFont val="맑은 고딕"/>
        <family val="3"/>
        <charset val="129"/>
      </rPr>
      <t>시</t>
    </r>
    <r>
      <rPr>
        <sz val="9"/>
        <color theme="1"/>
        <rFont val="Calibri"/>
        <family val="2"/>
      </rPr>
      <t xml:space="preserve"> </t>
    </r>
    <r>
      <rPr>
        <sz val="9"/>
        <color theme="1"/>
        <rFont val="맑은 고딕"/>
        <family val="3"/>
        <charset val="129"/>
      </rPr>
      <t>아래</t>
    </r>
    <r>
      <rPr>
        <sz val="9"/>
        <color theme="1"/>
        <rFont val="Calibri"/>
        <family val="2"/>
      </rPr>
      <t xml:space="preserve"> </t>
    </r>
    <r>
      <rPr>
        <sz val="9"/>
        <color theme="1"/>
        <rFont val="맑은 고딕"/>
        <family val="3"/>
        <charset val="129"/>
      </rPr>
      <t>항목이</t>
    </r>
    <r>
      <rPr>
        <sz val="9"/>
        <color theme="1"/>
        <rFont val="Calibri"/>
        <family val="2"/>
      </rPr>
      <t xml:space="preserve"> </t>
    </r>
    <r>
      <rPr>
        <sz val="9"/>
        <color theme="1"/>
        <rFont val="맑은 고딕"/>
        <family val="3"/>
        <charset val="129"/>
      </rPr>
      <t>자동계산됩니다</t>
    </r>
    <r>
      <rPr>
        <sz val="9"/>
        <color theme="1"/>
        <rFont val="Calibri"/>
        <family val="2"/>
      </rPr>
      <t>.</t>
    </r>
  </si>
  <si>
    <t>* Choose a language</t>
  </si>
  <si>
    <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</si>
  <si>
    <t>* Common Excel file, Not XLGantt file\n   (First row is title,from second rows are contents)\n* You can import only one file at once.</t>
  </si>
  <si>
    <r>
      <t xml:space="preserve">* XLGantt </t>
    </r>
    <r>
      <rPr>
        <sz val="9"/>
        <color theme="1"/>
        <rFont val="맑은 고딕"/>
        <family val="3"/>
        <charset val="129"/>
      </rPr>
      <t>파일이</t>
    </r>
    <r>
      <rPr>
        <sz val="9"/>
        <color theme="1"/>
        <rFont val="Calibri"/>
        <family val="2"/>
      </rPr>
      <t xml:space="preserve"> </t>
    </r>
    <r>
      <rPr>
        <sz val="9"/>
        <color theme="1"/>
        <rFont val="맑은 고딕"/>
        <family val="3"/>
        <charset val="129"/>
      </rPr>
      <t>아닌</t>
    </r>
    <r>
      <rPr>
        <sz val="9"/>
        <color theme="1"/>
        <rFont val="Calibri"/>
        <family val="2"/>
      </rPr>
      <t xml:space="preserve"> Excel</t>
    </r>
    <r>
      <rPr>
        <sz val="9"/>
        <color theme="1"/>
        <rFont val="맑은 고딕"/>
        <family val="3"/>
        <charset val="129"/>
      </rPr>
      <t>파일</t>
    </r>
    <r>
      <rPr>
        <sz val="9"/>
        <color theme="1"/>
        <rFont val="Calibri"/>
        <family val="2"/>
      </rPr>
      <t>(1</t>
    </r>
    <r>
      <rPr>
        <sz val="9"/>
        <color theme="1"/>
        <rFont val="맑은 고딕"/>
        <family val="3"/>
        <charset val="129"/>
      </rPr>
      <t>행은</t>
    </r>
    <r>
      <rPr>
        <sz val="9"/>
        <color theme="1"/>
        <rFont val="Calibri"/>
        <family val="2"/>
      </rPr>
      <t xml:space="preserve"> </t>
    </r>
    <r>
      <rPr>
        <sz val="9"/>
        <color theme="1"/>
        <rFont val="맑은 고딕"/>
        <family val="3"/>
        <charset val="129"/>
      </rPr>
      <t>제목</t>
    </r>
    <r>
      <rPr>
        <sz val="9"/>
        <color theme="1"/>
        <rFont val="Calibri"/>
        <family val="2"/>
      </rPr>
      <t>, 2</t>
    </r>
    <r>
      <rPr>
        <sz val="9"/>
        <color theme="1"/>
        <rFont val="맑은 고딕"/>
        <family val="3"/>
        <charset val="129"/>
      </rPr>
      <t>행부터</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파일</t>
    </r>
    <r>
      <rPr>
        <sz val="9"/>
        <color theme="1"/>
        <rFont val="Calibri"/>
        <family val="2"/>
      </rPr>
      <t xml:space="preserve">)\n* </t>
    </r>
    <r>
      <rPr>
        <sz val="9"/>
        <color theme="1"/>
        <rFont val="맑은 고딕"/>
        <family val="3"/>
        <charset val="129"/>
      </rPr>
      <t>자료갯수</t>
    </r>
    <r>
      <rPr>
        <sz val="9"/>
        <color theme="1"/>
        <rFont val="Calibri"/>
        <family val="2"/>
      </rPr>
      <t xml:space="preserve"> </t>
    </r>
    <r>
      <rPr>
        <sz val="9"/>
        <color theme="1"/>
        <rFont val="맑은 고딕"/>
        <family val="3"/>
        <charset val="129"/>
      </rPr>
      <t>제한</t>
    </r>
    <r>
      <rPr>
        <sz val="9"/>
        <color theme="1"/>
        <rFont val="Calibri"/>
        <family val="2"/>
      </rPr>
      <t xml:space="preserve"> </t>
    </r>
    <r>
      <rPr>
        <sz val="9"/>
        <color theme="1"/>
        <rFont val="맑은 고딕"/>
        <family val="3"/>
        <charset val="129"/>
      </rPr>
      <t>없음</t>
    </r>
    <r>
      <rPr>
        <sz val="9"/>
        <color theme="1"/>
        <rFont val="Calibri"/>
        <family val="2"/>
      </rPr>
      <t xml:space="preserve">\n* </t>
    </r>
    <r>
      <rPr>
        <sz val="9"/>
        <color theme="1"/>
        <rFont val="맑은 고딕"/>
        <family val="3"/>
        <charset val="129"/>
      </rPr>
      <t>한번에</t>
    </r>
    <r>
      <rPr>
        <sz val="9"/>
        <color theme="1"/>
        <rFont val="Calibri"/>
        <family val="2"/>
      </rPr>
      <t xml:space="preserve"> </t>
    </r>
    <r>
      <rPr>
        <sz val="9"/>
        <color theme="1"/>
        <rFont val="맑은 고딕"/>
        <family val="3"/>
        <charset val="129"/>
      </rPr>
      <t>한개의</t>
    </r>
    <r>
      <rPr>
        <sz val="9"/>
        <color theme="1"/>
        <rFont val="Calibri"/>
        <family val="2"/>
      </rPr>
      <t xml:space="preserve"> </t>
    </r>
    <r>
      <rPr>
        <sz val="9"/>
        <color theme="1"/>
        <rFont val="맑은 고딕"/>
        <family val="3"/>
        <charset val="129"/>
      </rPr>
      <t>파일만</t>
    </r>
    <r>
      <rPr>
        <sz val="9"/>
        <color theme="1"/>
        <rFont val="Calibri"/>
        <family val="2"/>
      </rPr>
      <t xml:space="preserve"> </t>
    </r>
    <r>
      <rPr>
        <sz val="9"/>
        <color theme="1"/>
        <rFont val="맑은 고딕"/>
        <family val="3"/>
        <charset val="129"/>
      </rPr>
      <t>처리됨</t>
    </r>
  </si>
  <si>
    <t>* This sheet shows you project progresses by months.</t>
    <phoneticPr fontId="11" type="noConversion"/>
  </si>
  <si>
    <r>
      <t xml:space="preserve">* </t>
    </r>
    <r>
      <rPr>
        <sz val="9"/>
        <color theme="1"/>
        <rFont val="맑은 고딕"/>
        <family val="3"/>
        <charset val="129"/>
      </rPr>
      <t>월별로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진적율을</t>
    </r>
    <r>
      <rPr>
        <sz val="9"/>
        <color theme="1"/>
        <rFont val="Calibri"/>
        <family val="2"/>
      </rPr>
      <t xml:space="preserve"> </t>
    </r>
    <r>
      <rPr>
        <sz val="9"/>
        <color theme="1"/>
        <rFont val="맑은 고딕"/>
        <family val="3"/>
        <charset val="129"/>
      </rPr>
      <t>보여줍니다</t>
    </r>
    <r>
      <rPr>
        <sz val="9"/>
        <color theme="1"/>
        <rFont val="Calibri"/>
        <family val="2"/>
      </rPr>
      <t>.</t>
    </r>
    <phoneticPr fontId="11" type="noConversion"/>
  </si>
  <si>
    <t>* This sheet shows you project progresses by weeks.</t>
    <phoneticPr fontId="11" type="noConversion"/>
  </si>
  <si>
    <r>
      <t xml:space="preserve">* </t>
    </r>
    <r>
      <rPr>
        <sz val="9"/>
        <color theme="1"/>
        <rFont val="맑은 고딕"/>
        <family val="3"/>
        <charset val="129"/>
      </rPr>
      <t>주별로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진적율을</t>
    </r>
    <r>
      <rPr>
        <sz val="9"/>
        <color theme="1"/>
        <rFont val="Calibri"/>
        <family val="2"/>
      </rPr>
      <t xml:space="preserve"> </t>
    </r>
    <r>
      <rPr>
        <sz val="9"/>
        <color theme="1"/>
        <rFont val="맑은 고딕"/>
        <family val="3"/>
        <charset val="129"/>
      </rPr>
      <t>보여줍니다</t>
    </r>
    <r>
      <rPr>
        <sz val="9"/>
        <color theme="1"/>
        <rFont val="Calibri"/>
        <family val="2"/>
      </rPr>
      <t>.</t>
    </r>
    <phoneticPr fontId="11" type="noConversion"/>
  </si>
  <si>
    <t>* This sheet shows you tasks, workloads, progresses(%Work complete), etc by resources.</t>
  </si>
  <si>
    <r>
      <t xml:space="preserve">* </t>
    </r>
    <r>
      <rPr>
        <sz val="9"/>
        <color theme="1"/>
        <rFont val="맑은 고딕"/>
        <family val="3"/>
        <charset val="129"/>
      </rPr>
      <t>담당별로</t>
    </r>
    <r>
      <rPr>
        <sz val="9"/>
        <color theme="1"/>
        <rFont val="Calibri"/>
        <family val="2"/>
      </rPr>
      <t xml:space="preserve"> </t>
    </r>
    <r>
      <rPr>
        <sz val="9"/>
        <color theme="1"/>
        <rFont val="맑은 고딕"/>
        <family val="3"/>
        <charset val="129"/>
      </rPr>
      <t>투입된</t>
    </r>
    <r>
      <rPr>
        <sz val="9"/>
        <color theme="1"/>
        <rFont val="Calibri"/>
        <family val="2"/>
      </rPr>
      <t xml:space="preserve"> Task</t>
    </r>
    <r>
      <rPr>
        <sz val="9"/>
        <color theme="1"/>
        <rFont val="맑은 고딕"/>
        <family val="3"/>
        <charset val="129"/>
      </rPr>
      <t>와</t>
    </r>
    <r>
      <rPr>
        <sz val="9"/>
        <color theme="1"/>
        <rFont val="Calibri"/>
        <family val="2"/>
      </rPr>
      <t xml:space="preserve"> </t>
    </r>
    <r>
      <rPr>
        <sz val="9"/>
        <color theme="1"/>
        <rFont val="맑은 고딕"/>
        <family val="3"/>
        <charset val="129"/>
      </rPr>
      <t>총작업량</t>
    </r>
    <r>
      <rPr>
        <sz val="9"/>
        <color theme="1"/>
        <rFont val="Calibri"/>
        <family val="2"/>
      </rPr>
      <t xml:space="preserve">, </t>
    </r>
    <r>
      <rPr>
        <sz val="9"/>
        <color theme="1"/>
        <rFont val="맑은 고딕"/>
        <family val="3"/>
        <charset val="129"/>
      </rPr>
      <t>계획작업량</t>
    </r>
    <r>
      <rPr>
        <sz val="9"/>
        <color theme="1"/>
        <rFont val="Calibri"/>
        <family val="2"/>
      </rPr>
      <t xml:space="preserve">, </t>
    </r>
    <r>
      <rPr>
        <sz val="9"/>
        <color theme="1"/>
        <rFont val="맑은 고딕"/>
        <family val="3"/>
        <charset val="129"/>
      </rPr>
      <t>진척작업을</t>
    </r>
    <r>
      <rPr>
        <sz val="9"/>
        <color theme="1"/>
        <rFont val="Calibri"/>
        <family val="2"/>
      </rPr>
      <t xml:space="preserve"> Man-day</t>
    </r>
    <r>
      <rPr>
        <sz val="9"/>
        <color theme="1"/>
        <rFont val="맑은 고딕"/>
        <family val="3"/>
        <charset val="129"/>
      </rPr>
      <t>로</t>
    </r>
    <r>
      <rPr>
        <sz val="9"/>
        <color theme="1"/>
        <rFont val="Calibri"/>
        <family val="2"/>
      </rPr>
      <t xml:space="preserve"> </t>
    </r>
    <r>
      <rPr>
        <sz val="9"/>
        <color theme="1"/>
        <rFont val="맑은 고딕"/>
        <family val="3"/>
        <charset val="129"/>
      </rPr>
      <t>보여주고</t>
    </r>
    <r>
      <rPr>
        <sz val="9"/>
        <color theme="1"/>
        <rFont val="Calibri"/>
        <family val="2"/>
      </rPr>
      <t xml:space="preserve">, </t>
    </r>
    <r>
      <rPr>
        <sz val="9"/>
        <color theme="1"/>
        <rFont val="맑은 고딕"/>
        <family val="3"/>
        <charset val="129"/>
      </rPr>
      <t>계획</t>
    </r>
    <r>
      <rPr>
        <sz val="9"/>
        <color theme="1"/>
        <rFont val="Calibri"/>
        <family val="2"/>
      </rPr>
      <t>/</t>
    </r>
    <r>
      <rPr>
        <sz val="9"/>
        <color theme="1"/>
        <rFont val="맑은 고딕"/>
        <family val="3"/>
        <charset val="129"/>
      </rPr>
      <t>실적</t>
    </r>
    <r>
      <rPr>
        <sz val="9"/>
        <color theme="1"/>
        <rFont val="Calibri"/>
        <family val="2"/>
      </rPr>
      <t xml:space="preserve"> </t>
    </r>
    <r>
      <rPr>
        <sz val="9"/>
        <color theme="1"/>
        <rFont val="맑은 고딕"/>
        <family val="3"/>
        <charset val="129"/>
      </rPr>
      <t>진행율을</t>
    </r>
    <r>
      <rPr>
        <sz val="9"/>
        <color theme="1"/>
        <rFont val="Calibri"/>
        <family val="2"/>
      </rPr>
      <t xml:space="preserve"> </t>
    </r>
    <r>
      <rPr>
        <sz val="9"/>
        <color theme="1"/>
        <rFont val="맑은 고딕"/>
        <family val="3"/>
        <charset val="129"/>
      </rPr>
      <t>보여줍니다</t>
    </r>
    <r>
      <rPr>
        <sz val="9"/>
        <color theme="1"/>
        <rFont val="Calibri"/>
        <family val="2"/>
      </rPr>
      <t>.</t>
    </r>
  </si>
  <si>
    <t>* This sheet shows you workload allocations by resources.</t>
  </si>
  <si>
    <r>
      <t xml:space="preserve">* </t>
    </r>
    <r>
      <rPr>
        <sz val="9"/>
        <color theme="1"/>
        <rFont val="맑은 고딕"/>
        <family val="3"/>
        <charset val="129"/>
      </rPr>
      <t>담당별</t>
    </r>
    <r>
      <rPr>
        <sz val="9"/>
        <color theme="1"/>
        <rFont val="Calibri"/>
        <family val="2"/>
      </rPr>
      <t xml:space="preserve"> Workload</t>
    </r>
    <r>
      <rPr>
        <sz val="9"/>
        <color theme="1"/>
        <rFont val="맑은 고딕"/>
        <family val="3"/>
        <charset val="129"/>
      </rPr>
      <t>를</t>
    </r>
    <r>
      <rPr>
        <sz val="9"/>
        <color theme="1"/>
        <rFont val="Calibri"/>
        <family val="2"/>
      </rPr>
      <t xml:space="preserve"> </t>
    </r>
    <r>
      <rPr>
        <sz val="9"/>
        <color theme="1"/>
        <rFont val="맑은 고딕"/>
        <family val="3"/>
        <charset val="129"/>
      </rPr>
      <t>보여줍니다</t>
    </r>
    <r>
      <rPr>
        <sz val="9"/>
        <color theme="1"/>
        <rFont val="Calibri"/>
        <family val="2"/>
      </rPr>
      <t>.</t>
    </r>
  </si>
  <si>
    <t>* This sheet shows you workload allocations by weeks or months.</t>
  </si>
  <si>
    <r>
      <t xml:space="preserve">* </t>
    </r>
    <r>
      <rPr>
        <sz val="9"/>
        <color theme="1"/>
        <rFont val="맑은 고딕"/>
        <family val="3"/>
        <charset val="129"/>
      </rPr>
      <t>주별</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월별</t>
    </r>
    <r>
      <rPr>
        <sz val="9"/>
        <color theme="1"/>
        <rFont val="Calibri"/>
        <family val="2"/>
      </rPr>
      <t xml:space="preserve"> Workload</t>
    </r>
    <r>
      <rPr>
        <sz val="9"/>
        <color theme="1"/>
        <rFont val="맑은 고딕"/>
        <family val="3"/>
        <charset val="129"/>
      </rPr>
      <t>를</t>
    </r>
    <r>
      <rPr>
        <sz val="9"/>
        <color theme="1"/>
        <rFont val="Calibri"/>
        <family val="2"/>
      </rPr>
      <t xml:space="preserve"> </t>
    </r>
    <r>
      <rPr>
        <sz val="9"/>
        <color theme="1"/>
        <rFont val="맑은 고딕"/>
        <family val="3"/>
        <charset val="129"/>
      </rPr>
      <t>보여줍니다</t>
    </r>
    <r>
      <rPr>
        <sz val="9"/>
        <color theme="1"/>
        <rFont val="Calibri"/>
        <family val="2"/>
      </rPr>
      <t>.</t>
    </r>
  </si>
  <si>
    <t>* This sheet shows you workload and %Work complete.</t>
  </si>
  <si>
    <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작업량과</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보여줍니다</t>
    </r>
    <r>
      <rPr>
        <sz val="9"/>
        <color theme="1"/>
        <rFont val="Calibri"/>
        <family val="2"/>
      </rPr>
      <t>.</t>
    </r>
  </si>
  <si>
    <t>* You need to click the "Progress by Months" button to update the contents.</t>
    <phoneticPr fontId="11" type="noConversion"/>
  </si>
  <si>
    <r>
      <t>* "</t>
    </r>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갱신됨</t>
    </r>
    <phoneticPr fontId="11" type="noConversion"/>
  </si>
  <si>
    <t>* You need to click the "Progress by Weeks" button to update the contents.</t>
    <phoneticPr fontId="11" type="noConversion"/>
  </si>
  <si>
    <r>
      <t>* "</t>
    </r>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갱신됨</t>
    </r>
    <phoneticPr fontId="11" type="noConversion"/>
  </si>
  <si>
    <t>* You need to click the "Progresses by Resources" button to update contents.</t>
  </si>
  <si>
    <r>
      <t>* "</t>
    </r>
    <r>
      <rPr>
        <sz val="9"/>
        <color theme="1"/>
        <rFont val="맑은 고딕"/>
        <family val="3"/>
        <charset val="129"/>
      </rPr>
      <t>담당별진행율</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</si>
  <si>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t>* You need to click the "Workloads by Resources" button to update the contents.</t>
  </si>
  <si>
    <r>
      <t>* "Workload(</t>
    </r>
    <r>
      <rPr>
        <sz val="9"/>
        <color theme="1"/>
        <rFont val="맑은 고딕"/>
        <family val="3"/>
        <charset val="129"/>
      </rPr>
      <t>담당별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</si>
  <si>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t>* You need to click the "Workloads by Weeks" or "Workloads by Months" button to update the contents.</t>
  </si>
  <si>
    <r>
      <t>* "Workload(</t>
    </r>
    <r>
      <rPr>
        <sz val="9"/>
        <color theme="1"/>
        <rFont val="맑은 고딕"/>
        <family val="3"/>
        <charset val="129"/>
      </rPr>
      <t>주별</t>
    </r>
    <r>
      <rPr>
        <sz val="9"/>
        <color theme="1"/>
        <rFont val="Calibri"/>
        <family val="2"/>
      </rPr>
      <t xml:space="preserve">)" </t>
    </r>
    <r>
      <rPr>
        <sz val="9"/>
        <color theme="1"/>
        <rFont val="맑은 고딕"/>
        <family val="3"/>
        <charset val="129"/>
      </rPr>
      <t>또는</t>
    </r>
    <r>
      <rPr>
        <sz val="9"/>
        <color theme="1"/>
        <rFont val="Calibri"/>
        <family val="2"/>
      </rPr>
      <t xml:space="preserve"> "Workload(</t>
    </r>
    <r>
      <rPr>
        <sz val="9"/>
        <color theme="1"/>
        <rFont val="맑은 고딕"/>
        <family val="3"/>
        <charset val="129"/>
      </rPr>
      <t>월별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</si>
  <si>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t>{} "Outlook Appointment(s)" have been added.</t>
  </si>
  <si>
    <r>
      <t>Outlook</t>
    </r>
    <r>
      <rPr>
        <sz val="9"/>
        <color theme="1"/>
        <rFont val="맑은 고딕"/>
        <family val="3"/>
        <charset val="129"/>
      </rPr>
      <t>일정이</t>
    </r>
    <r>
      <rPr>
        <sz val="9"/>
        <color theme="1"/>
        <rFont val="Calibri"/>
        <family val="2"/>
      </rPr>
      <t xml:space="preserve"> {}</t>
    </r>
    <r>
      <rPr>
        <sz val="9"/>
        <color theme="1"/>
        <rFont val="맑은 고딕"/>
        <family val="3"/>
        <charset val="129"/>
      </rPr>
      <t>건</t>
    </r>
    <r>
      <rPr>
        <sz val="9"/>
        <color theme="1"/>
        <rFont val="Calibri"/>
        <family val="2"/>
      </rPr>
      <t xml:space="preserve"> </t>
    </r>
    <r>
      <rPr>
        <sz val="9"/>
        <color theme="1"/>
        <rFont val="맑은 고딕"/>
        <family val="3"/>
        <charset val="129"/>
      </rPr>
      <t>등록되었습니다</t>
    </r>
    <r>
      <rPr>
        <sz val="9"/>
        <color theme="1"/>
        <rFont val="Calibri"/>
        <family val="2"/>
      </rPr>
      <t>.</t>
    </r>
  </si>
  <si>
    <t>{} "Outlook Task(s)" have been added.</t>
  </si>
  <si>
    <r>
      <t>Outlook</t>
    </r>
    <r>
      <rPr>
        <sz val="9"/>
        <color theme="1"/>
        <rFont val="맑은 고딕"/>
        <family val="3"/>
        <charset val="129"/>
      </rPr>
      <t>작업이</t>
    </r>
    <r>
      <rPr>
        <sz val="9"/>
        <color theme="1"/>
        <rFont val="Calibri"/>
        <family val="2"/>
      </rPr>
      <t xml:space="preserve"> {}</t>
    </r>
    <r>
      <rPr>
        <sz val="9"/>
        <color theme="1"/>
        <rFont val="맑은 고딕"/>
        <family val="3"/>
        <charset val="129"/>
      </rPr>
      <t>건</t>
    </r>
    <r>
      <rPr>
        <sz val="9"/>
        <color theme="1"/>
        <rFont val="Calibri"/>
        <family val="2"/>
      </rPr>
      <t xml:space="preserve"> </t>
    </r>
    <r>
      <rPr>
        <sz val="9"/>
        <color theme="1"/>
        <rFont val="맑은 고딕"/>
        <family val="3"/>
        <charset val="129"/>
      </rPr>
      <t>등록되었습니다</t>
    </r>
    <r>
      <rPr>
        <sz val="9"/>
        <color theme="1"/>
        <rFont val="Calibri"/>
        <family val="2"/>
      </rPr>
      <t>.</t>
    </r>
  </si>
  <si>
    <t>{} file does not exist.</t>
  </si>
  <si>
    <r>
      <t xml:space="preserve">{} </t>
    </r>
    <r>
      <rPr>
        <sz val="9"/>
        <color theme="1"/>
        <rFont val="맑은 고딕"/>
        <family val="3"/>
        <charset val="129"/>
      </rPr>
      <t>파일이</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</si>
  <si>
    <t>&lt;&lt; Remove</t>
    <phoneticPr fontId="11" type="noConversion"/>
  </si>
  <si>
    <r>
      <t xml:space="preserve">&lt;&lt; </t>
    </r>
    <r>
      <rPr>
        <sz val="9"/>
        <color theme="1"/>
        <rFont val="맑은 고딕"/>
        <family val="3"/>
        <charset val="129"/>
      </rPr>
      <t>제거</t>
    </r>
  </si>
  <si>
    <t>&lt;&lt; Unmap</t>
    <phoneticPr fontId="11" type="noConversion"/>
  </si>
  <si>
    <r>
      <t>&lt;&lt; Mapping</t>
    </r>
    <r>
      <rPr>
        <sz val="9"/>
        <color theme="1"/>
        <rFont val="맑은 고딕"/>
        <family val="3"/>
        <charset val="129"/>
      </rPr>
      <t>취소</t>
    </r>
  </si>
  <si>
    <t>12/1/2018</t>
    <phoneticPr fontId="11" type="noConversion"/>
  </si>
  <si>
    <t>12/31/2018</t>
  </si>
  <si>
    <t>About</t>
  </si>
  <si>
    <t>Accumulated\nMan-Day</t>
  </si>
  <si>
    <r>
      <rPr>
        <sz val="9"/>
        <color theme="1"/>
        <rFont val="맑은 고딕"/>
        <family val="3"/>
        <charset val="129"/>
      </rPr>
      <t>누적</t>
    </r>
    <r>
      <rPr>
        <sz val="9"/>
        <color theme="1"/>
        <rFont val="Calibri"/>
        <family val="2"/>
      </rPr>
      <t>\nMan-Day</t>
    </r>
  </si>
  <si>
    <t>manual input</t>
    <phoneticPr fontId="11" type="noConversion"/>
  </si>
  <si>
    <t>Actual</t>
    <phoneticPr fontId="11" type="noConversion"/>
  </si>
  <si>
    <r>
      <rPr>
        <sz val="9"/>
        <color theme="1"/>
        <rFont val="맑은 고딕"/>
        <family val="3"/>
        <charset val="129"/>
      </rPr>
      <t>실적</t>
    </r>
    <phoneticPr fontId="11" type="noConversion"/>
  </si>
  <si>
    <t>Actual %Complete is invalid. Enter a number only. Verify row {} of the source file.</t>
  </si>
  <si>
    <r>
      <rPr>
        <sz val="9"/>
        <color theme="1"/>
        <rFont val="맑은 고딕"/>
        <family val="3"/>
        <charset val="129"/>
      </rPr>
      <t>실적진척율에</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</si>
  <si>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t>Actual %Work Complete from the start date to the current date</t>
  </si>
  <si>
    <r>
      <rPr>
        <sz val="9"/>
        <color theme="1"/>
        <rFont val="맑은 고딕"/>
        <family val="3"/>
        <charset val="129"/>
      </rPr>
      <t>현재날짜까지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진척율</t>
    </r>
    <r>
      <rPr>
        <sz val="9"/>
        <color theme="1"/>
        <rFont val="Calibri"/>
        <family val="2"/>
      </rPr>
      <t>, WBS</t>
    </r>
    <r>
      <rPr>
        <sz val="9"/>
        <color theme="1"/>
        <rFont val="맑은 고딕"/>
        <family val="3"/>
        <charset val="129"/>
      </rPr>
      <t>의</t>
    </r>
    <r>
      <rPr>
        <sz val="9"/>
        <color theme="1"/>
        <rFont val="Calibri"/>
        <family val="2"/>
      </rPr>
      <t xml:space="preserve"> "</t>
    </r>
    <r>
      <rPr>
        <sz val="9"/>
        <color theme="1"/>
        <rFont val="맑은 고딕"/>
        <family val="3"/>
        <charset val="129"/>
      </rPr>
      <t>실적진척율</t>
    </r>
    <r>
      <rPr>
        <sz val="9"/>
        <color theme="1"/>
        <rFont val="Calibri"/>
        <family val="2"/>
      </rPr>
      <t>"</t>
    </r>
    <r>
      <rPr>
        <sz val="9"/>
        <color theme="1"/>
        <rFont val="맑은 고딕"/>
        <family val="3"/>
        <charset val="129"/>
      </rPr>
      <t>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합계</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표시함</t>
    </r>
  </si>
  <si>
    <t>Actual Accumulated\nMan-Day</t>
    <phoneticPr fontId="11" type="noConversion"/>
  </si>
  <si>
    <r>
      <rPr>
        <sz val="9"/>
        <color theme="1"/>
        <rFont val="맑은 고딕"/>
        <family val="3"/>
        <charset val="129"/>
      </rPr>
      <t>실제</t>
    </r>
    <r>
      <rPr>
        <sz val="9"/>
        <color theme="1"/>
        <rFont val="Calibri"/>
        <family val="2"/>
      </rPr>
      <t xml:space="preserve"> </t>
    </r>
    <r>
      <rPr>
        <sz val="9"/>
        <color theme="1"/>
        <rFont val="맑은 고딕"/>
        <family val="3"/>
        <charset val="129"/>
      </rPr>
      <t>누적</t>
    </r>
    <r>
      <rPr>
        <sz val="9"/>
        <color theme="1"/>
        <rFont val="Calibri"/>
        <family val="2"/>
      </rPr>
      <t>\nMan-Day</t>
    </r>
    <phoneticPr fontId="11" type="noConversion"/>
  </si>
  <si>
    <t>for importOnStartup</t>
    <phoneticPr fontId="11" type="noConversion"/>
  </si>
  <si>
    <t>Actual Finish</t>
  </si>
  <si>
    <r>
      <rPr>
        <sz val="9"/>
        <color theme="1"/>
        <rFont val="맑은 고딕"/>
        <family val="3"/>
        <charset val="129"/>
      </rPr>
      <t>실제완료일</t>
    </r>
  </si>
  <si>
    <t>Actual Finish Date</t>
  </si>
  <si>
    <r>
      <rPr>
        <sz val="9"/>
        <color theme="1"/>
        <rFont val="맑은 고딕"/>
        <family val="3"/>
        <charset val="129"/>
      </rPr>
      <t>실제완료일자</t>
    </r>
  </si>
  <si>
    <t>Actual finish date field of a task. It must be in date format.</t>
  </si>
  <si>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실제완료일</t>
    </r>
    <r>
      <rPr>
        <sz val="9"/>
        <color theme="1"/>
        <rFont val="Calibri"/>
        <family val="2"/>
      </rPr>
      <t>(</t>
    </r>
    <r>
      <rPr>
        <sz val="9"/>
        <color theme="1"/>
        <rFont val="맑은 고딕"/>
        <family val="3"/>
        <charset val="129"/>
      </rPr>
      <t>또는</t>
    </r>
    <r>
      <rPr>
        <sz val="9"/>
        <color theme="1"/>
        <rFont val="Calibri"/>
        <family val="2"/>
      </rPr>
      <t xml:space="preserve"> </t>
    </r>
    <r>
      <rPr>
        <sz val="9"/>
        <color theme="1"/>
        <rFont val="맑은 고딕"/>
        <family val="3"/>
        <charset val="129"/>
      </rPr>
      <t>실제종료일</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</si>
  <si>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t>Actual finish date is invalid.</t>
  </si>
  <si>
    <r>
      <rPr>
        <sz val="9"/>
        <color theme="1"/>
        <rFont val="맑은 고딕"/>
        <family val="3"/>
        <charset val="129"/>
      </rPr>
      <t>실제완료일의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</si>
  <si>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t>Actual finish date is invalid. Verify row {} of the source file.</t>
  </si>
  <si>
    <r>
      <rPr>
        <sz val="9"/>
        <color theme="1"/>
        <rFont val="맑은 고딕"/>
        <family val="3"/>
        <charset val="129"/>
      </rPr>
      <t>실제완료일자에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</si>
  <si>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t>Actual Man-Day</t>
    <phoneticPr fontId="11" type="noConversion"/>
  </si>
  <si>
    <r>
      <rPr>
        <sz val="9"/>
        <color theme="1"/>
        <rFont val="맑은 고딕"/>
        <family val="3"/>
        <charset val="129"/>
      </rPr>
      <t>실제</t>
    </r>
    <r>
      <rPr>
        <sz val="9"/>
        <color theme="1"/>
        <rFont val="Calibri"/>
        <family val="2"/>
      </rPr>
      <t xml:space="preserve"> Man-Day</t>
    </r>
    <phoneticPr fontId="11" type="noConversion"/>
  </si>
  <si>
    <t>Actual Progress</t>
    <phoneticPr fontId="11" type="noConversion"/>
  </si>
  <si>
    <r>
      <rPr>
        <sz val="9"/>
        <color theme="1"/>
        <rFont val="맑은 고딕"/>
        <family val="3"/>
        <charset val="129"/>
      </rPr>
      <t>실제진척율</t>
    </r>
    <phoneticPr fontId="11" type="noConversion"/>
  </si>
  <si>
    <t>Actual progress rate(%Work Complete) field.</t>
  </si>
  <si>
    <r>
      <rPr>
        <sz val="9"/>
        <color theme="1"/>
        <rFont val="맑은 고딕"/>
        <family val="3"/>
        <charset val="129"/>
      </rPr>
      <t>실제진척율</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진척된</t>
    </r>
    <r>
      <rPr>
        <sz val="9"/>
        <color theme="1"/>
        <rFont val="Calibri"/>
        <family val="2"/>
      </rPr>
      <t xml:space="preserve"> </t>
    </r>
    <r>
      <rPr>
        <sz val="9"/>
        <color theme="1"/>
        <rFont val="맑은 고딕"/>
        <family val="3"/>
        <charset val="129"/>
      </rPr>
      <t>작업량을</t>
    </r>
    <r>
      <rPr>
        <sz val="9"/>
        <color theme="1"/>
        <rFont val="Calibri"/>
        <family val="2"/>
      </rPr>
      <t xml:space="preserve"> %</t>
    </r>
    <r>
      <rPr>
        <sz val="9"/>
        <color theme="1"/>
        <rFont val="맑은 고딕"/>
        <family val="3"/>
        <charset val="129"/>
      </rPr>
      <t>로</t>
    </r>
    <r>
      <rPr>
        <sz val="9"/>
        <color theme="1"/>
        <rFont val="Calibri"/>
        <family val="2"/>
      </rPr>
      <t xml:space="preserve"> </t>
    </r>
    <r>
      <rPr>
        <sz val="9"/>
        <color theme="1"/>
        <rFont val="맑은 고딕"/>
        <family val="3"/>
        <charset val="129"/>
      </rPr>
      <t>표현합니다</t>
    </r>
    <r>
      <rPr>
        <sz val="9"/>
        <color theme="1"/>
        <rFont val="Calibri"/>
        <family val="2"/>
      </rPr>
      <t>.</t>
    </r>
  </si>
  <si>
    <t>Actual Start</t>
  </si>
  <si>
    <r>
      <rPr>
        <sz val="9"/>
        <color theme="1"/>
        <rFont val="맑은 고딕"/>
        <family val="3"/>
        <charset val="129"/>
      </rPr>
      <t>실제시작일</t>
    </r>
  </si>
  <si>
    <t>Actual Start Date</t>
  </si>
  <si>
    <r>
      <rPr>
        <sz val="9"/>
        <color theme="1"/>
        <rFont val="맑은 고딕"/>
        <family val="3"/>
        <charset val="129"/>
      </rPr>
      <t>실제시작일자</t>
    </r>
  </si>
  <si>
    <t>Actual start date field of a task. It must be in date format.</t>
  </si>
  <si>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실제시작일을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</si>
  <si>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t>Actual start date is invalid.</t>
  </si>
  <si>
    <r>
      <rPr>
        <sz val="9"/>
        <color theme="1"/>
        <rFont val="맑은 고딕"/>
        <family val="3"/>
        <charset val="129"/>
      </rPr>
      <t>실제시작일의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</si>
  <si>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t>Actual start date is invalid. Verify row {} of the source file.</t>
  </si>
  <si>
    <r>
      <rPr>
        <sz val="9"/>
        <color theme="1"/>
        <rFont val="맑은 고딕"/>
        <family val="3"/>
        <charset val="129"/>
      </rPr>
      <t>실제시작일자에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</si>
  <si>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t>Actual Total Duration</t>
  </si>
  <si>
    <r>
      <rPr>
        <sz val="9"/>
        <color theme="1"/>
        <rFont val="맑은 고딕"/>
        <family val="3"/>
        <charset val="129"/>
      </rPr>
      <t>실제총기간</t>
    </r>
  </si>
  <si>
    <t>Actual Total Work</t>
  </si>
  <si>
    <r>
      <rPr>
        <sz val="9"/>
        <color theme="1"/>
        <rFont val="맑은 고딕"/>
        <family val="3"/>
        <charset val="129"/>
      </rPr>
      <t>실제총작업량</t>
    </r>
  </si>
  <si>
    <t>Actual Total Work\nMan-day</t>
  </si>
  <si>
    <r>
      <rPr>
        <sz val="9"/>
        <color theme="1"/>
        <rFont val="맑은 고딕"/>
        <family val="3"/>
        <charset val="129"/>
      </rPr>
      <t>실제</t>
    </r>
    <r>
      <rPr>
        <sz val="9"/>
        <color theme="1"/>
        <rFont val="Calibri"/>
        <family val="2"/>
      </rPr>
      <t xml:space="preserve"> </t>
    </r>
    <r>
      <rPr>
        <sz val="9"/>
        <color theme="1"/>
        <rFont val="맑은 고딕"/>
        <family val="3"/>
        <charset val="129"/>
      </rPr>
      <t>총작업량</t>
    </r>
    <r>
      <rPr>
        <sz val="9"/>
        <color theme="1"/>
        <rFont val="Calibri"/>
        <family val="2"/>
      </rPr>
      <t>\nMan-day</t>
    </r>
  </si>
  <si>
    <t>Actual Total__Duration</t>
    <phoneticPr fontId="13" type="noConversion"/>
  </si>
  <si>
    <r>
      <rPr>
        <sz val="9"/>
        <color theme="1"/>
        <rFont val="맑은 고딕"/>
        <family val="3"/>
        <charset val="129"/>
      </rPr>
      <t>실제</t>
    </r>
    <r>
      <rPr>
        <sz val="9"/>
        <color theme="1"/>
        <rFont val="Calibri"/>
        <family val="2"/>
      </rPr>
      <t xml:space="preserve"> </t>
    </r>
    <r>
      <rPr>
        <sz val="9"/>
        <color theme="1"/>
        <rFont val="맑은 고딕"/>
        <family val="3"/>
        <charset val="129"/>
      </rPr>
      <t>총기간</t>
    </r>
    <r>
      <rPr>
        <sz val="9"/>
        <color theme="1"/>
        <rFont val="Calibri"/>
        <family val="2"/>
      </rPr>
      <t>__(</t>
    </r>
    <r>
      <rPr>
        <sz val="9"/>
        <color theme="1"/>
        <rFont val="맑은 고딕"/>
        <family val="3"/>
        <charset val="129"/>
      </rPr>
      <t>전체</t>
    </r>
    <r>
      <rPr>
        <sz val="9"/>
        <color theme="1"/>
        <rFont val="Calibri"/>
        <family val="2"/>
      </rPr>
      <t xml:space="preserve"> </t>
    </r>
    <r>
      <rPr>
        <sz val="9"/>
        <color theme="1"/>
        <rFont val="맑은 고딕"/>
        <family val="3"/>
        <charset val="129"/>
      </rPr>
      <t>기간</t>
    </r>
    <r>
      <rPr>
        <sz val="9"/>
        <color theme="1"/>
        <rFont val="Calibri"/>
        <family val="2"/>
      </rPr>
      <t>)</t>
    </r>
    <phoneticPr fontId="13" type="noConversion"/>
  </si>
  <si>
    <t>Actual Total\nDuration</t>
  </si>
  <si>
    <r>
      <rPr>
        <sz val="9"/>
        <color theme="1"/>
        <rFont val="맑은 고딕"/>
        <family val="3"/>
        <charset val="129"/>
      </rPr>
      <t>실제</t>
    </r>
    <r>
      <rPr>
        <sz val="9"/>
        <color theme="1"/>
        <rFont val="Calibri"/>
        <family val="2"/>
      </rPr>
      <t>\n</t>
    </r>
    <r>
      <rPr>
        <sz val="9"/>
        <color theme="1"/>
        <rFont val="맑은 고딕"/>
        <family val="3"/>
        <charset val="129"/>
      </rPr>
      <t>총기간</t>
    </r>
  </si>
  <si>
    <t>Actual Total\nWork(Total\nManDay)</t>
  </si>
  <si>
    <r>
      <rPr>
        <sz val="9"/>
        <color theme="1"/>
        <rFont val="맑은 고딕"/>
        <family val="3"/>
        <charset val="129"/>
      </rPr>
      <t>실제</t>
    </r>
    <r>
      <rPr>
        <sz val="9"/>
        <color theme="1"/>
        <rFont val="Calibri"/>
        <family val="2"/>
      </rPr>
      <t xml:space="preserve"> </t>
    </r>
    <r>
      <rPr>
        <sz val="9"/>
        <color theme="1"/>
        <rFont val="맑은 고딕"/>
        <family val="3"/>
        <charset val="129"/>
      </rPr>
      <t>총작업량</t>
    </r>
    <r>
      <rPr>
        <sz val="9"/>
        <color theme="1"/>
        <rFont val="Calibri"/>
        <family val="2"/>
      </rPr>
      <t>\n(</t>
    </r>
    <r>
      <rPr>
        <sz val="9"/>
        <color theme="1"/>
        <rFont val="맑은 고딕"/>
        <family val="3"/>
        <charset val="129"/>
      </rPr>
      <t>총</t>
    </r>
    <r>
      <rPr>
        <sz val="9"/>
        <color theme="1"/>
        <rFont val="Calibri"/>
        <family val="2"/>
      </rPr>
      <t>ManDay,_x000D_</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phoneticPr fontId="13" type="noConversion"/>
  </si>
  <si>
    <t>Actual Workload Accumulated(Man-Day)</t>
    <phoneticPr fontId="11" type="noConversion"/>
  </si>
  <si>
    <r>
      <rPr>
        <sz val="9"/>
        <color theme="1"/>
        <rFont val="맑은 고딕"/>
        <family val="3"/>
        <charset val="129"/>
      </rPr>
      <t>실제작업량</t>
    </r>
    <r>
      <rPr>
        <sz val="9"/>
        <color theme="1"/>
        <rFont val="Calibri"/>
        <family val="2"/>
      </rPr>
      <t xml:space="preserve"> </t>
    </r>
    <r>
      <rPr>
        <sz val="9"/>
        <color theme="1"/>
        <rFont val="맑은 고딕"/>
        <family val="3"/>
        <charset val="129"/>
      </rPr>
      <t>누적</t>
    </r>
    <r>
      <rPr>
        <sz val="9"/>
        <color theme="1"/>
        <rFont val="Calibri"/>
        <family val="2"/>
      </rPr>
      <t>(Man-Day)</t>
    </r>
    <phoneticPr fontId="11" type="noConversion"/>
  </si>
  <si>
    <t>Actual Workload Progress</t>
    <phoneticPr fontId="11" type="noConversion"/>
  </si>
  <si>
    <r>
      <rPr>
        <sz val="9"/>
        <color theme="1"/>
        <rFont val="맑은 고딕"/>
        <family val="3"/>
        <charset val="129"/>
      </rPr>
      <t>실제작업량</t>
    </r>
    <r>
      <rPr>
        <sz val="9"/>
        <color theme="1"/>
        <rFont val="Calibri"/>
        <family val="2"/>
      </rPr>
      <t xml:space="preserve"> </t>
    </r>
    <r>
      <rPr>
        <sz val="9"/>
        <color theme="1"/>
        <rFont val="맑은 고딕"/>
        <family val="3"/>
        <charset val="129"/>
      </rPr>
      <t>진척율</t>
    </r>
    <phoneticPr fontId="11" type="noConversion"/>
  </si>
  <si>
    <t>Actual Workload(Man-Day)</t>
    <phoneticPr fontId="11" type="noConversion"/>
  </si>
  <si>
    <r>
      <rPr>
        <sz val="9"/>
        <color theme="1"/>
        <rFont val="맑은 고딕"/>
        <family val="3"/>
        <charset val="129"/>
      </rPr>
      <t>실제작업량</t>
    </r>
    <r>
      <rPr>
        <sz val="9"/>
        <color theme="1"/>
        <rFont val="Calibri"/>
        <family val="2"/>
      </rPr>
      <t>(Man-Day)</t>
    </r>
    <phoneticPr fontId="11" type="noConversion"/>
  </si>
  <si>
    <t>Actual__Finish</t>
    <phoneticPr fontId="13" type="noConversion"/>
  </si>
  <si>
    <r>
      <rPr>
        <sz val="9"/>
        <color theme="1"/>
        <rFont val="맑은 고딕"/>
        <family val="3"/>
        <charset val="129"/>
      </rPr>
      <t>실제</t>
    </r>
    <r>
      <rPr>
        <sz val="9"/>
        <color theme="1"/>
        <rFont val="Calibri"/>
        <family val="2"/>
      </rPr>
      <t>__</t>
    </r>
    <r>
      <rPr>
        <sz val="9"/>
        <color theme="1"/>
        <rFont val="맑은 고딕"/>
        <family val="3"/>
        <charset val="129"/>
      </rPr>
      <t>완료일</t>
    </r>
    <phoneticPr fontId="13" type="noConversion"/>
  </si>
  <si>
    <t>Actual__Start</t>
    <phoneticPr fontId="13" type="noConversion"/>
  </si>
  <si>
    <r>
      <rPr>
        <sz val="9"/>
        <color theme="1"/>
        <rFont val="맑은 고딕"/>
        <family val="3"/>
        <charset val="129"/>
      </rPr>
      <t>실제</t>
    </r>
    <r>
      <rPr>
        <sz val="9"/>
        <color theme="1"/>
        <rFont val="Calibri"/>
        <family val="2"/>
      </rPr>
      <t>__</t>
    </r>
    <r>
      <rPr>
        <sz val="9"/>
        <color theme="1"/>
        <rFont val="맑은 고딕"/>
        <family val="3"/>
        <charset val="129"/>
      </rPr>
      <t>시작일</t>
    </r>
    <phoneticPr fontId="13" type="noConversion"/>
  </si>
  <si>
    <t>Actual__Total Duration</t>
    <phoneticPr fontId="13" type="noConversion"/>
  </si>
  <si>
    <r>
      <rPr>
        <sz val="9"/>
        <color theme="1"/>
        <rFont val="맑은 고딕"/>
        <family val="3"/>
        <charset val="129"/>
      </rPr>
      <t>실제</t>
    </r>
    <r>
      <rPr>
        <sz val="9"/>
        <color theme="1"/>
        <rFont val="Calibri"/>
        <family val="2"/>
      </rPr>
      <t>__</t>
    </r>
    <r>
      <rPr>
        <sz val="9"/>
        <color theme="1"/>
        <rFont val="맑은 고딕"/>
        <family val="3"/>
        <charset val="129"/>
      </rPr>
      <t>총기간</t>
    </r>
    <phoneticPr fontId="13" type="noConversion"/>
  </si>
  <si>
    <t>Actual__Total Work</t>
    <phoneticPr fontId="13" type="noConversion"/>
  </si>
  <si>
    <r>
      <rPr>
        <sz val="9"/>
        <color theme="1"/>
        <rFont val="맑은 고딕"/>
        <family val="3"/>
        <charset val="129"/>
      </rPr>
      <t>실제</t>
    </r>
    <r>
      <rPr>
        <sz val="9"/>
        <color theme="1"/>
        <rFont val="Calibri"/>
        <family val="2"/>
      </rPr>
      <t>__</t>
    </r>
    <r>
      <rPr>
        <sz val="9"/>
        <color theme="1"/>
        <rFont val="맑은 고딕"/>
        <family val="3"/>
        <charset val="129"/>
      </rPr>
      <t>총작업량</t>
    </r>
    <phoneticPr fontId="13" type="noConversion"/>
  </si>
  <si>
    <t>Actual\nFinish</t>
  </si>
  <si>
    <r>
      <rPr>
        <sz val="9"/>
        <color theme="1"/>
        <rFont val="맑은 고딕"/>
        <family val="3"/>
        <charset val="129"/>
      </rPr>
      <t>실제</t>
    </r>
    <r>
      <rPr>
        <sz val="9"/>
        <color theme="1"/>
        <rFont val="Calibri"/>
        <family val="2"/>
      </rPr>
      <t>\n</t>
    </r>
    <r>
      <rPr>
        <sz val="9"/>
        <color theme="1"/>
        <rFont val="맑은 고딕"/>
        <family val="3"/>
        <charset val="129"/>
      </rPr>
      <t>완료일</t>
    </r>
    <phoneticPr fontId="11" type="noConversion"/>
  </si>
  <si>
    <t>Actual\nStart</t>
  </si>
  <si>
    <r>
      <rPr>
        <sz val="9"/>
        <color theme="1"/>
        <rFont val="맑은 고딕"/>
        <family val="3"/>
        <charset val="129"/>
      </rPr>
      <t>실제</t>
    </r>
    <r>
      <rPr>
        <sz val="9"/>
        <color theme="1"/>
        <rFont val="Calibri"/>
        <family val="2"/>
      </rPr>
      <t>\n</t>
    </r>
    <r>
      <rPr>
        <sz val="9"/>
        <color theme="1"/>
        <rFont val="맑은 고딕"/>
        <family val="3"/>
        <charset val="129"/>
      </rPr>
      <t>시작일</t>
    </r>
    <phoneticPr fontId="11" type="noConversion"/>
  </si>
  <si>
    <t>Actual\nStart-Finish</t>
    <phoneticPr fontId="11" type="noConversion"/>
  </si>
  <si>
    <r>
      <rPr>
        <sz val="9"/>
        <color theme="1"/>
        <rFont val="맑은 고딕"/>
        <family val="3"/>
        <charset val="129"/>
      </rPr>
      <t>실제_x000D_</t>
    </r>
    <r>
      <rPr>
        <sz val="9"/>
        <color theme="1"/>
        <rFont val="Calibri"/>
        <family val="2"/>
      </rPr>
      <t>\n</t>
    </r>
    <r>
      <rPr>
        <sz val="9"/>
        <color theme="1"/>
        <rFont val="맑은 고딕"/>
        <family val="3"/>
        <charset val="129"/>
      </rPr>
      <t>시작일</t>
    </r>
    <r>
      <rPr>
        <sz val="9"/>
        <color theme="1"/>
        <rFont val="Calibri"/>
        <family val="2"/>
      </rPr>
      <t>-</t>
    </r>
    <r>
      <rPr>
        <sz val="9"/>
        <color theme="1"/>
        <rFont val="맑은 고딕"/>
        <family val="3"/>
        <charset val="129"/>
      </rPr>
      <t>완료일</t>
    </r>
    <phoneticPr fontId="11" type="noConversion"/>
  </si>
  <si>
    <t>Actual\nTotal Duration</t>
  </si>
  <si>
    <r>
      <rPr>
        <sz val="9"/>
        <color theme="1"/>
        <rFont val="맑은 고딕"/>
        <family val="3"/>
        <charset val="129"/>
      </rPr>
      <t>실제</t>
    </r>
    <r>
      <rPr>
        <sz val="9"/>
        <color theme="1"/>
        <rFont val="Calibri"/>
        <family val="2"/>
      </rPr>
      <t>\n</t>
    </r>
    <r>
      <rPr>
        <sz val="9"/>
        <color theme="1"/>
        <rFont val="맑은 고딕"/>
        <family val="3"/>
        <charset val="129"/>
      </rPr>
      <t>총기간</t>
    </r>
    <phoneticPr fontId="11" type="noConversion"/>
  </si>
  <si>
    <t>Actual\nTotal Work</t>
  </si>
  <si>
    <r>
      <rPr>
        <sz val="9"/>
        <color theme="1"/>
        <rFont val="맑은 고딕"/>
        <family val="3"/>
        <charset val="129"/>
      </rPr>
      <t>실제</t>
    </r>
    <r>
      <rPr>
        <sz val="9"/>
        <color theme="1"/>
        <rFont val="Calibri"/>
        <family val="2"/>
      </rPr>
      <t>\n</t>
    </r>
    <r>
      <rPr>
        <sz val="9"/>
        <color theme="1"/>
        <rFont val="맑은 고딕"/>
        <family val="3"/>
        <charset val="129"/>
      </rPr>
      <t>총작업량</t>
    </r>
  </si>
  <si>
    <t>Actually performed workload</t>
  </si>
  <si>
    <r>
      <rPr>
        <sz val="9"/>
        <color theme="1"/>
        <rFont val="맑은 고딕"/>
        <family val="3"/>
        <charset val="129"/>
      </rPr>
      <t>실제</t>
    </r>
    <r>
      <rPr>
        <sz val="9"/>
        <color theme="1"/>
        <rFont val="Calibri"/>
        <family val="2"/>
      </rPr>
      <t xml:space="preserve"> </t>
    </r>
    <r>
      <rPr>
        <sz val="9"/>
        <color theme="1"/>
        <rFont val="맑은 고딕"/>
        <family val="3"/>
        <charset val="129"/>
      </rPr>
      <t>투입된</t>
    </r>
    <r>
      <rPr>
        <sz val="9"/>
        <color theme="1"/>
        <rFont val="Calibri"/>
        <family val="2"/>
      </rPr>
      <t xml:space="preserve"> </t>
    </r>
    <r>
      <rPr>
        <sz val="9"/>
        <color theme="1"/>
        <rFont val="맑은 고딕"/>
        <family val="3"/>
        <charset val="129"/>
      </rPr>
      <t>작업량</t>
    </r>
    <phoneticPr fontId="11" type="noConversion"/>
  </si>
  <si>
    <t>Actually Performed workload when managing schedule changes</t>
  </si>
  <si>
    <r>
      <rPr>
        <sz val="9"/>
        <color theme="1"/>
        <rFont val="맑은 고딕"/>
        <family val="3"/>
        <charset val="129"/>
      </rPr>
      <t>일정변경</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투입된</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표시함</t>
    </r>
  </si>
  <si>
    <t>Actually performed workload when not managing schedule changes(Total Duration x %Work Complete)</t>
  </si>
  <si>
    <r>
      <rPr>
        <sz val="9"/>
        <color theme="1"/>
        <rFont val="맑은 고딕"/>
        <family val="3"/>
        <charset val="129"/>
      </rPr>
      <t>일정변경관리</t>
    </r>
    <r>
      <rPr>
        <sz val="9"/>
        <color theme="1"/>
        <rFont val="Calibri"/>
        <family val="2"/>
      </rPr>
      <t xml:space="preserve"> </t>
    </r>
    <r>
      <rPr>
        <sz val="9"/>
        <color theme="1"/>
        <rFont val="맑은 고딕"/>
        <family val="3"/>
        <charset val="129"/>
      </rPr>
      <t>하지</t>
    </r>
    <r>
      <rPr>
        <sz val="9"/>
        <color theme="1"/>
        <rFont val="Calibri"/>
        <family val="2"/>
      </rPr>
      <t xml:space="preserve"> </t>
    </r>
    <r>
      <rPr>
        <sz val="9"/>
        <color theme="1"/>
        <rFont val="맑은 고딕"/>
        <family val="3"/>
        <charset val="129"/>
      </rPr>
      <t>않을</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표시함</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</si>
  <si>
    <t>Add &gt;&gt;</t>
  </si>
  <si>
    <r>
      <rPr>
        <sz val="9"/>
        <color theme="1"/>
        <rFont val="맑은 고딕"/>
        <family val="3"/>
        <charset val="129"/>
      </rPr>
      <t>추가</t>
    </r>
    <r>
      <rPr>
        <sz val="9"/>
        <color theme="1"/>
        <rFont val="Calibri"/>
        <family val="2"/>
      </rPr>
      <t xml:space="preserve"> &gt;&gt;</t>
    </r>
  </si>
  <si>
    <t>Add Languages</t>
  </si>
  <si>
    <r>
      <rPr>
        <sz val="9"/>
        <color theme="1"/>
        <rFont val="맑은 고딕"/>
        <family val="3"/>
        <charset val="129"/>
      </rPr>
      <t>언어</t>
    </r>
    <r>
      <rPr>
        <sz val="9"/>
        <color theme="1"/>
        <rFont val="Calibri"/>
        <family val="2"/>
      </rPr>
      <t xml:space="preserve"> </t>
    </r>
    <r>
      <rPr>
        <sz val="9"/>
        <color theme="1"/>
        <rFont val="맑은 고딕"/>
        <family val="3"/>
        <charset val="129"/>
      </rPr>
      <t>추가</t>
    </r>
  </si>
  <si>
    <t>Add to MS Outlook Calendar</t>
  </si>
  <si>
    <r>
      <t>MS Outlook</t>
    </r>
    <r>
      <rPr>
        <sz val="9"/>
        <color theme="1"/>
        <rFont val="맑은 고딕"/>
        <family val="3"/>
        <charset val="129"/>
      </rPr>
      <t>일정</t>
    </r>
    <r>
      <rPr>
        <sz val="9"/>
        <color theme="1"/>
        <rFont val="Calibri"/>
        <family val="2"/>
      </rPr>
      <t xml:space="preserve"> </t>
    </r>
    <r>
      <rPr>
        <sz val="9"/>
        <color theme="1"/>
        <rFont val="맑은 고딕"/>
        <family val="3"/>
        <charset val="129"/>
      </rPr>
      <t>등록</t>
    </r>
  </si>
  <si>
    <t>Add to MS Outlook Task</t>
  </si>
  <si>
    <r>
      <t>MS Outlook</t>
    </r>
    <r>
      <rPr>
        <sz val="9"/>
        <color theme="1"/>
        <rFont val="맑은 고딕"/>
        <family val="3"/>
        <charset val="129"/>
      </rPr>
      <t>작업</t>
    </r>
    <r>
      <rPr>
        <sz val="9"/>
        <color theme="1"/>
        <rFont val="Calibri"/>
        <family val="2"/>
      </rPr>
      <t xml:space="preserve"> </t>
    </r>
    <r>
      <rPr>
        <sz val="9"/>
        <color theme="1"/>
        <rFont val="맑은 고딕"/>
        <family val="3"/>
        <charset val="129"/>
      </rPr>
      <t>등록</t>
    </r>
  </si>
  <si>
    <t>Adding Tasks to Microsoft Outlook Calendar</t>
    <phoneticPr fontId="11" type="noConversion"/>
  </si>
  <si>
    <r>
      <t>Microsoft Outlook</t>
    </r>
    <r>
      <rPr>
        <sz val="9"/>
        <color theme="1"/>
        <rFont val="맑은 고딕"/>
        <family val="3"/>
        <charset val="129"/>
      </rPr>
      <t>작업</t>
    </r>
    <r>
      <rPr>
        <sz val="9"/>
        <color theme="1"/>
        <rFont val="Calibri"/>
        <family val="2"/>
      </rPr>
      <t xml:space="preserve">, </t>
    </r>
    <r>
      <rPr>
        <sz val="9"/>
        <color theme="1"/>
        <rFont val="맑은 고딕"/>
        <family val="3"/>
        <charset val="129"/>
      </rPr>
      <t>일정등록</t>
    </r>
  </si>
  <si>
    <t>Adds tasks to the Outlook calendar(You must have Microsoft Outlook installed on your PC).</t>
    <phoneticPr fontId="11" type="noConversion"/>
  </si>
  <si>
    <r>
      <rPr>
        <sz val="9"/>
        <color theme="1"/>
        <rFont val="맑은 고딕"/>
        <family val="3"/>
        <charset val="129"/>
      </rPr>
      <t>엑셀간트에서는</t>
    </r>
    <r>
      <rPr>
        <sz val="9"/>
        <color theme="1"/>
        <rFont val="Calibri"/>
        <family val="2"/>
      </rPr>
      <t xml:space="preserve"> Schedule</t>
    </r>
    <r>
      <rPr>
        <sz val="9"/>
        <color theme="1"/>
        <rFont val="맑은 고딕"/>
        <family val="3"/>
        <charset val="129"/>
      </rPr>
      <t>시트에</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작업을</t>
    </r>
    <r>
      <rPr>
        <sz val="9"/>
        <color theme="1"/>
        <rFont val="Calibri"/>
        <family val="2"/>
      </rPr>
      <t xml:space="preserve"> Microsoft Outlook</t>
    </r>
    <r>
      <rPr>
        <sz val="9"/>
        <color theme="1"/>
        <rFont val="맑은 고딕"/>
        <family val="3"/>
        <charset val="129"/>
      </rPr>
      <t>에</t>
    </r>
    <r>
      <rPr>
        <sz val="9"/>
        <color theme="1"/>
        <rFont val="Calibri"/>
        <family val="2"/>
      </rPr>
      <t xml:space="preserve"> </t>
    </r>
    <r>
      <rPr>
        <sz val="9"/>
        <color theme="1"/>
        <rFont val="맑은 고딕"/>
        <family val="3"/>
        <charset val="129"/>
      </rPr>
      <t>작업이나</t>
    </r>
    <r>
      <rPr>
        <sz val="9"/>
        <color theme="1"/>
        <rFont val="Calibri"/>
        <family val="2"/>
      </rPr>
      <t xml:space="preserve"> </t>
    </r>
    <r>
      <rPr>
        <sz val="9"/>
        <color theme="1"/>
        <rFont val="맑은 고딕"/>
        <family val="3"/>
        <charset val="129"/>
      </rPr>
      <t>일정으로</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t>
    </r>
    <r>
      <rPr>
        <sz val="9"/>
        <color theme="1"/>
        <rFont val="맑은 고딕"/>
        <family val="3"/>
        <charset val="129"/>
      </rPr>
      <t>단</t>
    </r>
    <r>
      <rPr>
        <sz val="9"/>
        <color theme="1"/>
        <rFont val="Calibri"/>
        <family val="2"/>
      </rPr>
      <t>, PC</t>
    </r>
    <r>
      <rPr>
        <sz val="9"/>
        <color theme="1"/>
        <rFont val="맑은 고딕"/>
        <family val="3"/>
        <charset val="129"/>
      </rPr>
      <t>에</t>
    </r>
    <r>
      <rPr>
        <sz val="9"/>
        <color theme="1"/>
        <rFont val="Calibri"/>
        <family val="2"/>
      </rPr>
      <t xml:space="preserve"> Microsoft Outlook</t>
    </r>
    <r>
      <rPr>
        <sz val="9"/>
        <color theme="1"/>
        <rFont val="맑은 고딕"/>
        <family val="3"/>
        <charset val="129"/>
      </rPr>
      <t>이</t>
    </r>
    <r>
      <rPr>
        <sz val="9"/>
        <color theme="1"/>
        <rFont val="Calibri"/>
        <family val="2"/>
      </rPr>
      <t xml:space="preserve"> </t>
    </r>
    <r>
      <rPr>
        <sz val="9"/>
        <color theme="1"/>
        <rFont val="맑은 고딕"/>
        <family val="3"/>
        <charset val="129"/>
      </rPr>
      <t>설치되어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한다</t>
    </r>
    <r>
      <rPr>
        <sz val="9"/>
        <color theme="1"/>
        <rFont val="Calibri"/>
        <family val="2"/>
      </rPr>
      <t>).</t>
    </r>
  </si>
  <si>
    <t>After turning off filtering, we'll proceed.</t>
  </si>
  <si>
    <r>
      <rPr>
        <sz val="9"/>
        <color theme="1"/>
        <rFont val="맑은 고딕"/>
        <family val="3"/>
        <charset val="129"/>
      </rPr>
      <t>필터를</t>
    </r>
    <r>
      <rPr>
        <sz val="9"/>
        <color theme="1"/>
        <rFont val="Calibri"/>
        <family val="2"/>
      </rPr>
      <t xml:space="preserve"> </t>
    </r>
    <r>
      <rPr>
        <sz val="9"/>
        <color theme="1"/>
        <rFont val="맑은 고딕"/>
        <family val="3"/>
        <charset val="129"/>
      </rPr>
      <t>해제하고</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진행합니다</t>
    </r>
    <r>
      <rPr>
        <sz val="9"/>
        <color theme="1"/>
        <rFont val="Calibri"/>
        <family val="2"/>
      </rPr>
      <t>.</t>
    </r>
  </si>
  <si>
    <t>Ahead of schedule</t>
    <phoneticPr fontId="11" type="noConversion"/>
  </si>
  <si>
    <r>
      <rPr>
        <sz val="9"/>
        <color theme="1"/>
        <rFont val="맑은 고딕"/>
        <family val="3"/>
        <charset val="129"/>
      </rPr>
      <t>계획대비</t>
    </r>
    <r>
      <rPr>
        <sz val="9"/>
        <color theme="1"/>
        <rFont val="Calibri"/>
        <family val="2"/>
      </rPr>
      <t xml:space="preserve"> </t>
    </r>
    <r>
      <rPr>
        <sz val="9"/>
        <color theme="1"/>
        <rFont val="맑은 고딕"/>
        <family val="3"/>
        <charset val="129"/>
      </rPr>
      <t>빠름</t>
    </r>
    <phoneticPr fontId="11" type="noConversion"/>
  </si>
  <si>
    <t>All tasks</t>
  </si>
  <si>
    <r>
      <rPr>
        <sz val="9"/>
        <color theme="1"/>
        <rFont val="맑은 고딕"/>
        <family val="3"/>
        <charset val="129"/>
      </rPr>
      <t>전체</t>
    </r>
    <r>
      <rPr>
        <sz val="9"/>
        <color theme="1"/>
        <rFont val="Calibri"/>
        <family val="2"/>
      </rPr>
      <t xml:space="preserve"> </t>
    </r>
    <r>
      <rPr>
        <sz val="9"/>
        <color theme="1"/>
        <rFont val="맑은 고딕"/>
        <family val="3"/>
        <charset val="129"/>
      </rPr>
      <t>조회</t>
    </r>
    <r>
      <rPr>
        <sz val="9"/>
        <color theme="1"/>
        <rFont val="Calibri"/>
        <family val="2"/>
      </rPr>
      <t>(</t>
    </r>
    <r>
      <rPr>
        <sz val="9"/>
        <color theme="1"/>
        <rFont val="맑은 고딕"/>
        <family val="3"/>
        <charset val="129"/>
      </rPr>
      <t>필터</t>
    </r>
    <r>
      <rPr>
        <sz val="9"/>
        <color theme="1"/>
        <rFont val="Calibri"/>
        <family val="2"/>
      </rPr>
      <t xml:space="preserve"> </t>
    </r>
    <r>
      <rPr>
        <sz val="9"/>
        <color theme="1"/>
        <rFont val="맑은 고딕"/>
        <family val="3"/>
        <charset val="129"/>
      </rPr>
      <t>해제</t>
    </r>
    <r>
      <rPr>
        <sz val="9"/>
        <color theme="1"/>
        <rFont val="Calibri"/>
        <family val="2"/>
      </rPr>
      <t>)</t>
    </r>
  </si>
  <si>
    <t>An error occurred while checking for updates. Please try again \nError Message: {}</t>
  </si>
  <si>
    <r>
      <rPr>
        <sz val="9"/>
        <color theme="1"/>
        <rFont val="맑은 고딕"/>
        <family val="3"/>
        <charset val="129"/>
      </rPr>
      <t>최신버전</t>
    </r>
    <r>
      <rPr>
        <sz val="9"/>
        <color theme="1"/>
        <rFont val="Calibri"/>
        <family val="2"/>
      </rPr>
      <t xml:space="preserve"> </t>
    </r>
    <r>
      <rPr>
        <sz val="9"/>
        <color theme="1"/>
        <rFont val="맑은 고딕"/>
        <family val="3"/>
        <charset val="129"/>
      </rPr>
      <t>확인</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잠시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다시</t>
    </r>
    <r>
      <rPr>
        <sz val="9"/>
        <color theme="1"/>
        <rFont val="Calibri"/>
        <family val="2"/>
      </rPr>
      <t xml:space="preserve"> </t>
    </r>
    <r>
      <rPr>
        <sz val="9"/>
        <color theme="1"/>
        <rFont val="맑은 고딕"/>
        <family val="3"/>
        <charset val="129"/>
      </rPr>
      <t>시도하세요</t>
    </r>
    <r>
      <rPr>
        <sz val="9"/>
        <color theme="1"/>
        <rFont val="Calibri"/>
        <family val="2"/>
      </rPr>
      <t>.\n</t>
    </r>
    <r>
      <rPr>
        <sz val="9"/>
        <color theme="1"/>
        <rFont val="맑은 고딕"/>
        <family val="3"/>
        <charset val="129"/>
      </rPr>
      <t>에러메시지</t>
    </r>
    <r>
      <rPr>
        <sz val="9"/>
        <color theme="1"/>
        <rFont val="Calibri"/>
        <family val="2"/>
      </rPr>
      <t xml:space="preserve"> : {}</t>
    </r>
  </si>
  <si>
    <t>An error occurred while checking XLGantt cell formats. Please restart XLGantt.</t>
  </si>
  <si>
    <r>
      <rPr>
        <sz val="9"/>
        <color theme="1"/>
        <rFont val="맑은 고딕"/>
        <family val="3"/>
        <charset val="129"/>
      </rPr>
      <t>서식</t>
    </r>
    <r>
      <rPr>
        <sz val="9"/>
        <color theme="1"/>
        <rFont val="Calibri"/>
        <family val="2"/>
      </rPr>
      <t xml:space="preserve">check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발생하였습니다</t>
    </r>
    <r>
      <rPr>
        <sz val="9"/>
        <color theme="1"/>
        <rFont val="Calibri"/>
        <family val="2"/>
      </rPr>
      <t>. XLGantt</t>
    </r>
    <r>
      <rPr>
        <sz val="9"/>
        <color theme="1"/>
        <rFont val="맑은 고딕"/>
        <family val="3"/>
        <charset val="129"/>
      </rPr>
      <t>를</t>
    </r>
    <r>
      <rPr>
        <sz val="9"/>
        <color theme="1"/>
        <rFont val="Calibri"/>
        <family val="2"/>
      </rPr>
      <t xml:space="preserve"> </t>
    </r>
    <r>
      <rPr>
        <sz val="9"/>
        <color theme="1"/>
        <rFont val="맑은 고딕"/>
        <family val="3"/>
        <charset val="129"/>
      </rPr>
      <t>종료하고</t>
    </r>
    <r>
      <rPr>
        <sz val="9"/>
        <color theme="1"/>
        <rFont val="Calibri"/>
        <family val="2"/>
      </rPr>
      <t xml:space="preserve"> </t>
    </r>
    <r>
      <rPr>
        <sz val="9"/>
        <color theme="1"/>
        <rFont val="맑은 고딕"/>
        <family val="3"/>
        <charset val="129"/>
      </rPr>
      <t>다시</t>
    </r>
    <r>
      <rPr>
        <sz val="9"/>
        <color theme="1"/>
        <rFont val="Calibri"/>
        <family val="2"/>
      </rPr>
      <t xml:space="preserve"> </t>
    </r>
    <r>
      <rPr>
        <sz val="9"/>
        <color theme="1"/>
        <rFont val="맑은 고딕"/>
        <family val="3"/>
        <charset val="129"/>
      </rPr>
      <t>시작하십시오</t>
    </r>
    <r>
      <rPr>
        <sz val="9"/>
        <color theme="1"/>
        <rFont val="Calibri"/>
        <family val="2"/>
      </rPr>
      <t>.</t>
    </r>
  </si>
  <si>
    <t>An error occurred while processing. Please check the messages below.</t>
  </si>
  <si>
    <r>
      <rPr>
        <sz val="9"/>
        <color theme="1"/>
        <rFont val="맑은 고딕"/>
        <family val="3"/>
        <charset val="129"/>
      </rPr>
      <t>처리</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확인하십시오</t>
    </r>
    <r>
      <rPr>
        <sz val="9"/>
        <color theme="1"/>
        <rFont val="Calibri"/>
        <family val="2"/>
      </rPr>
      <t>.</t>
    </r>
  </si>
  <si>
    <t>Analysis</t>
  </si>
  <si>
    <r>
      <rPr>
        <sz val="9"/>
        <color theme="1"/>
        <rFont val="맑은 고딕"/>
        <family val="3"/>
        <charset val="129"/>
      </rPr>
      <t>분석</t>
    </r>
  </si>
  <si>
    <t>Analysis report</t>
    <phoneticPr fontId="11" type="noConversion"/>
  </si>
  <si>
    <r>
      <rPr>
        <sz val="9"/>
        <color theme="1"/>
        <rFont val="맑은 고딕"/>
        <family val="3"/>
        <charset val="129"/>
      </rPr>
      <t>분석</t>
    </r>
    <r>
      <rPr>
        <sz val="9"/>
        <color theme="1"/>
        <rFont val="Calibri"/>
        <family val="2"/>
      </rPr>
      <t xml:space="preserve"> </t>
    </r>
    <r>
      <rPr>
        <sz val="9"/>
        <color theme="1"/>
        <rFont val="맑은 고딕"/>
        <family val="3"/>
        <charset val="129"/>
      </rPr>
      <t>리포트</t>
    </r>
  </si>
  <si>
    <t>Appearance</t>
    <phoneticPr fontId="11" type="noConversion"/>
  </si>
  <si>
    <r>
      <rPr>
        <sz val="9"/>
        <color theme="1"/>
        <rFont val="맑은 고딕"/>
        <family val="3"/>
        <charset val="129"/>
      </rPr>
      <t>모양</t>
    </r>
    <phoneticPr fontId="11" type="noConversion"/>
  </si>
  <si>
    <t>Automatic</t>
    <phoneticPr fontId="11" type="noConversion"/>
  </si>
  <si>
    <r>
      <rPr>
        <sz val="9"/>
        <color theme="1"/>
        <rFont val="맑은 고딕"/>
        <family val="3"/>
        <charset val="129"/>
      </rPr>
      <t>자동</t>
    </r>
    <phoneticPr fontId="11" type="noConversion"/>
  </si>
  <si>
    <t>Automatic Except for Data Tables</t>
    <phoneticPr fontId="11" type="noConversion"/>
  </si>
  <si>
    <r>
      <rPr>
        <sz val="9"/>
        <color theme="1"/>
        <rFont val="맑은 고딕"/>
        <family val="3"/>
        <charset val="129"/>
      </rPr>
      <t>데이터</t>
    </r>
    <r>
      <rPr>
        <sz val="9"/>
        <color theme="1"/>
        <rFont val="Calibri"/>
        <family val="2"/>
      </rPr>
      <t xml:space="preserve"> </t>
    </r>
    <r>
      <rPr>
        <sz val="9"/>
        <color theme="1"/>
        <rFont val="맑은 고딕"/>
        <family val="3"/>
        <charset val="129"/>
      </rPr>
      <t>표만</t>
    </r>
    <r>
      <rPr>
        <sz val="9"/>
        <color theme="1"/>
        <rFont val="Calibri"/>
        <family val="2"/>
      </rPr>
      <t xml:space="preserve"> </t>
    </r>
    <r>
      <rPr>
        <sz val="9"/>
        <color theme="1"/>
        <rFont val="맑은 고딕"/>
        <family val="3"/>
        <charset val="129"/>
      </rPr>
      <t>수동</t>
    </r>
    <phoneticPr fontId="11" type="noConversion"/>
  </si>
  <si>
    <t>Automatically defined</t>
  </si>
  <si>
    <r>
      <rPr>
        <sz val="9"/>
        <color theme="1"/>
        <rFont val="맑은 고딕"/>
        <family val="3"/>
        <charset val="129"/>
      </rPr>
      <t>자동지정</t>
    </r>
  </si>
  <si>
    <t>Available Languages</t>
  </si>
  <si>
    <r>
      <rPr>
        <sz val="9"/>
        <color theme="1"/>
        <rFont val="맑은 고딕"/>
        <family val="3"/>
        <charset val="129"/>
      </rPr>
      <t>추가</t>
    </r>
    <r>
      <rPr>
        <sz val="9"/>
        <color theme="1"/>
        <rFont val="Calibri"/>
        <family val="2"/>
      </rPr>
      <t xml:space="preserve"> </t>
    </r>
    <r>
      <rPr>
        <sz val="9"/>
        <color theme="1"/>
        <rFont val="맑은 고딕"/>
        <family val="3"/>
        <charset val="129"/>
      </rPr>
      <t>가능한</t>
    </r>
    <r>
      <rPr>
        <sz val="9"/>
        <color theme="1"/>
        <rFont val="Calibri"/>
        <family val="2"/>
      </rPr>
      <t xml:space="preserve"> </t>
    </r>
    <r>
      <rPr>
        <sz val="9"/>
        <color theme="1"/>
        <rFont val="맑은 고딕"/>
        <family val="3"/>
        <charset val="129"/>
      </rPr>
      <t>언어</t>
    </r>
  </si>
  <si>
    <t>Bar chart Text Display Position</t>
  </si>
  <si>
    <r>
      <t>Bar chart</t>
    </r>
    <r>
      <rPr>
        <sz val="9"/>
        <color theme="1"/>
        <rFont val="맑은 고딕"/>
        <family val="3"/>
        <charset val="129"/>
      </rPr>
      <t>의</t>
    </r>
    <r>
      <rPr>
        <sz val="9"/>
        <color theme="1"/>
        <rFont val="Calibri"/>
        <family val="2"/>
      </rPr>
      <t xml:space="preserve"> </t>
    </r>
    <r>
      <rPr>
        <sz val="9"/>
        <color theme="1"/>
        <rFont val="맑은 고딕"/>
        <family val="3"/>
        <charset val="129"/>
      </rPr>
      <t>텍스트</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위치</t>
    </r>
  </si>
  <si>
    <t>Because the following task already has been added, XLGantt does not add it to "Outlook".\n\nTask Name : {1} \nDue Date : {2}</t>
  </si>
  <si>
    <r>
      <rPr>
        <sz val="9"/>
        <color theme="1"/>
        <rFont val="맑은 고딕"/>
        <family val="3"/>
        <charset val="129"/>
      </rPr>
      <t>다음</t>
    </r>
    <r>
      <rPr>
        <sz val="9"/>
        <color theme="1"/>
        <rFont val="Calibri"/>
        <family val="2"/>
      </rPr>
      <t xml:space="preserve"> </t>
    </r>
    <r>
      <rPr>
        <sz val="9"/>
        <color theme="1"/>
        <rFont val="맑은 고딕"/>
        <family val="3"/>
        <charset val="129"/>
      </rPr>
      <t>작업은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등록되어</t>
    </r>
    <r>
      <rPr>
        <sz val="9"/>
        <color theme="1"/>
        <rFont val="Calibri"/>
        <family val="2"/>
      </rPr>
      <t xml:space="preserve"> </t>
    </r>
    <r>
      <rPr>
        <sz val="9"/>
        <color theme="1"/>
        <rFont val="맑은 고딕"/>
        <family val="3"/>
        <charset val="129"/>
      </rPr>
      <t>있으므로</t>
    </r>
    <r>
      <rPr>
        <sz val="9"/>
        <color theme="1"/>
        <rFont val="Calibri"/>
        <family val="2"/>
      </rPr>
      <t xml:space="preserve"> </t>
    </r>
    <r>
      <rPr>
        <sz val="9"/>
        <color theme="1"/>
        <rFont val="맑은 고딕"/>
        <family val="3"/>
        <charset val="129"/>
      </rPr>
      <t>등록하지</t>
    </r>
    <r>
      <rPr>
        <sz val="9"/>
        <color theme="1"/>
        <rFont val="Calibri"/>
        <family val="2"/>
      </rPr>
      <t xml:space="preserve"> </t>
    </r>
    <r>
      <rPr>
        <sz val="9"/>
        <color theme="1"/>
        <rFont val="맑은 고딕"/>
        <family val="3"/>
        <charset val="129"/>
      </rPr>
      <t>않습니다</t>
    </r>
    <r>
      <rPr>
        <sz val="9"/>
        <color theme="1"/>
        <rFont val="Calibri"/>
        <family val="2"/>
      </rPr>
      <t>.\n\n</t>
    </r>
    <r>
      <rPr>
        <sz val="9"/>
        <color theme="1"/>
        <rFont val="맑은 고딕"/>
        <family val="3"/>
        <charset val="129"/>
      </rPr>
      <t>작업명</t>
    </r>
    <r>
      <rPr>
        <sz val="9"/>
        <color theme="1"/>
        <rFont val="Calibri"/>
        <family val="2"/>
      </rPr>
      <t xml:space="preserve"> : {1} \n</t>
    </r>
    <r>
      <rPr>
        <sz val="9"/>
        <color theme="1"/>
        <rFont val="맑은 고딕"/>
        <family val="3"/>
        <charset val="129"/>
      </rPr>
      <t>기한</t>
    </r>
    <r>
      <rPr>
        <sz val="9"/>
        <color theme="1"/>
        <rFont val="Calibri"/>
        <family val="2"/>
      </rPr>
      <t xml:space="preserve"> : {2}</t>
    </r>
  </si>
  <si>
    <t>Because the following task already has been added, XLGantt does not add it to "Outlook".\n\nTask Name : {1} \nStart Date : {2}</t>
  </si>
  <si>
    <r>
      <rPr>
        <sz val="9"/>
        <color theme="1"/>
        <rFont val="맑은 고딕"/>
        <family val="3"/>
        <charset val="129"/>
      </rPr>
      <t>다음</t>
    </r>
    <r>
      <rPr>
        <sz val="9"/>
        <color theme="1"/>
        <rFont val="Calibri"/>
        <family val="2"/>
      </rPr>
      <t xml:space="preserve"> </t>
    </r>
    <r>
      <rPr>
        <sz val="9"/>
        <color theme="1"/>
        <rFont val="맑은 고딕"/>
        <family val="3"/>
        <charset val="129"/>
      </rPr>
      <t>작업은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등록되어</t>
    </r>
    <r>
      <rPr>
        <sz val="9"/>
        <color theme="1"/>
        <rFont val="Calibri"/>
        <family val="2"/>
      </rPr>
      <t xml:space="preserve"> </t>
    </r>
    <r>
      <rPr>
        <sz val="9"/>
        <color theme="1"/>
        <rFont val="맑은 고딕"/>
        <family val="3"/>
        <charset val="129"/>
      </rPr>
      <t>있으므로</t>
    </r>
    <r>
      <rPr>
        <sz val="9"/>
        <color theme="1"/>
        <rFont val="Calibri"/>
        <family val="2"/>
      </rPr>
      <t xml:space="preserve"> </t>
    </r>
    <r>
      <rPr>
        <sz val="9"/>
        <color theme="1"/>
        <rFont val="맑은 고딕"/>
        <family val="3"/>
        <charset val="129"/>
      </rPr>
      <t>등록하지</t>
    </r>
    <r>
      <rPr>
        <sz val="9"/>
        <color theme="1"/>
        <rFont val="Calibri"/>
        <family val="2"/>
      </rPr>
      <t xml:space="preserve"> </t>
    </r>
    <r>
      <rPr>
        <sz val="9"/>
        <color theme="1"/>
        <rFont val="맑은 고딕"/>
        <family val="3"/>
        <charset val="129"/>
      </rPr>
      <t>않습니다</t>
    </r>
    <r>
      <rPr>
        <sz val="9"/>
        <color theme="1"/>
        <rFont val="Calibri"/>
        <family val="2"/>
      </rPr>
      <t>.\n\n</t>
    </r>
    <r>
      <rPr>
        <sz val="9"/>
        <color theme="1"/>
        <rFont val="맑은 고딕"/>
        <family val="3"/>
        <charset val="129"/>
      </rPr>
      <t>작업명</t>
    </r>
    <r>
      <rPr>
        <sz val="9"/>
        <color theme="1"/>
        <rFont val="Calibri"/>
        <family val="2"/>
      </rPr>
      <t xml:space="preserve"> : {1} \n</t>
    </r>
    <r>
      <rPr>
        <sz val="9"/>
        <color theme="1"/>
        <rFont val="맑은 고딕"/>
        <family val="3"/>
        <charset val="129"/>
      </rPr>
      <t>시작일</t>
    </r>
    <r>
      <rPr>
        <sz val="9"/>
        <color theme="1"/>
        <rFont val="Calibri"/>
        <family val="2"/>
      </rPr>
      <t xml:space="preserve"> : {2}</t>
    </r>
  </si>
  <si>
    <t>Behind schedule</t>
    <phoneticPr fontId="11" type="noConversion"/>
  </si>
  <si>
    <r>
      <rPr>
        <sz val="9"/>
        <color theme="1"/>
        <rFont val="맑은 고딕"/>
        <family val="3"/>
        <charset val="129"/>
      </rPr>
      <t>일정</t>
    </r>
    <r>
      <rPr>
        <sz val="9"/>
        <color theme="1"/>
        <rFont val="Calibri"/>
        <family val="2"/>
      </rPr>
      <t xml:space="preserve"> </t>
    </r>
    <r>
      <rPr>
        <sz val="9"/>
        <color theme="1"/>
        <rFont val="맑은 고딕"/>
        <family val="3"/>
        <charset val="129"/>
      </rPr>
      <t>지연</t>
    </r>
    <phoneticPr fontId="11" type="noConversion"/>
  </si>
  <si>
    <t>blabla</t>
  </si>
  <si>
    <t>...</t>
  </si>
  <si>
    <t>Black &amp; White</t>
    <phoneticPr fontId="11" type="noConversion"/>
  </si>
  <si>
    <r>
      <rPr>
        <sz val="9"/>
        <color theme="1"/>
        <rFont val="맑은 고딕"/>
        <family val="3"/>
        <charset val="129"/>
      </rPr>
      <t>흑백</t>
    </r>
    <phoneticPr fontId="11" type="noConversion"/>
  </si>
  <si>
    <t>By %Work Complete</t>
  </si>
  <si>
    <r>
      <rPr>
        <sz val="9"/>
        <color theme="1"/>
        <rFont val="맑은 고딕"/>
        <family val="3"/>
        <charset val="129"/>
      </rPr>
      <t>완료율</t>
    </r>
  </si>
  <si>
    <t>By Duration</t>
  </si>
  <si>
    <r>
      <rPr>
        <sz val="9"/>
        <color theme="1"/>
        <rFont val="맑은 고딕"/>
        <family val="3"/>
        <charset val="129"/>
      </rPr>
      <t>기간</t>
    </r>
  </si>
  <si>
    <t>By Resource</t>
  </si>
  <si>
    <r>
      <rPr>
        <sz val="9"/>
        <color theme="1"/>
        <rFont val="맑은 고딕"/>
        <family val="3"/>
        <charset val="129"/>
      </rPr>
      <t>담당</t>
    </r>
    <phoneticPr fontId="11" type="noConversion"/>
  </si>
  <si>
    <t>by Resource Allocation Ratio</t>
    <phoneticPr fontId="11" type="noConversion"/>
  </si>
  <si>
    <r>
      <rPr>
        <sz val="9"/>
        <color theme="1"/>
        <rFont val="맑은 고딕"/>
        <family val="3"/>
        <charset val="129"/>
      </rPr>
      <t>자원배정비율로</t>
    </r>
    <r>
      <rPr>
        <sz val="9"/>
        <color theme="1"/>
        <rFont val="Calibri"/>
        <family val="2"/>
      </rPr>
      <t xml:space="preserve"> </t>
    </r>
    <r>
      <rPr>
        <sz val="9"/>
        <color theme="1"/>
        <rFont val="맑은 고딕"/>
        <family val="3"/>
        <charset val="129"/>
      </rPr>
      <t>계산</t>
    </r>
    <phoneticPr fontId="11" type="noConversion"/>
  </si>
  <si>
    <t>by Weight</t>
    <phoneticPr fontId="11" type="noConversion"/>
  </si>
  <si>
    <r>
      <rPr>
        <sz val="9"/>
        <color theme="1"/>
        <rFont val="맑은 고딕"/>
        <family val="3"/>
        <charset val="129"/>
      </rPr>
      <t>가중치로</t>
    </r>
    <r>
      <rPr>
        <sz val="9"/>
        <color theme="1"/>
        <rFont val="Calibri"/>
        <family val="2"/>
      </rPr>
      <t xml:space="preserve"> </t>
    </r>
    <r>
      <rPr>
        <sz val="9"/>
        <color theme="1"/>
        <rFont val="맑은 고딕"/>
        <family val="3"/>
        <charset val="129"/>
      </rPr>
      <t>계산</t>
    </r>
    <phoneticPr fontId="11" type="noConversion"/>
  </si>
  <si>
    <t>Calculation Base Date of Planned %Work Complete</t>
  </si>
  <si>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t>
    </r>
  </si>
  <si>
    <t>Calculation Base Date of Planned %Work Complete must be greater than or equal to project start date.</t>
  </si>
  <si>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기준일자는</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시작일보다</t>
    </r>
    <r>
      <rPr>
        <sz val="9"/>
        <color theme="1"/>
        <rFont val="Calibri"/>
        <family val="2"/>
      </rPr>
      <t xml:space="preserve"> </t>
    </r>
    <r>
      <rPr>
        <sz val="9"/>
        <color theme="1"/>
        <rFont val="맑은 고딕"/>
        <family val="3"/>
        <charset val="129"/>
      </rPr>
      <t>크거나</t>
    </r>
    <r>
      <rPr>
        <sz val="9"/>
        <color theme="1"/>
        <rFont val="Calibri"/>
        <family val="2"/>
      </rPr>
      <t xml:space="preserve"> </t>
    </r>
    <r>
      <rPr>
        <sz val="9"/>
        <color theme="1"/>
        <rFont val="맑은 고딕"/>
        <family val="3"/>
        <charset val="129"/>
      </rPr>
      <t>같아야</t>
    </r>
    <r>
      <rPr>
        <sz val="9"/>
        <color theme="1"/>
        <rFont val="Calibri"/>
        <family val="2"/>
      </rPr>
      <t xml:space="preserve"> </t>
    </r>
    <r>
      <rPr>
        <sz val="9"/>
        <color theme="1"/>
        <rFont val="맑은 고딕"/>
        <family val="3"/>
        <charset val="129"/>
      </rPr>
      <t>합니다</t>
    </r>
    <r>
      <rPr>
        <sz val="9"/>
        <color theme="1"/>
        <rFont val="Calibri"/>
        <family val="2"/>
      </rPr>
      <t>.</t>
    </r>
  </si>
  <si>
    <t>Calculation Base Date of Planned %Work Complete must be less than or equal to project finish date.</t>
  </si>
  <si>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기준일자는</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작거나</t>
    </r>
    <r>
      <rPr>
        <sz val="9"/>
        <color theme="1"/>
        <rFont val="Calibri"/>
        <family val="2"/>
      </rPr>
      <t xml:space="preserve"> </t>
    </r>
    <r>
      <rPr>
        <sz val="9"/>
        <color theme="1"/>
        <rFont val="맑은 고딕"/>
        <family val="3"/>
        <charset val="129"/>
      </rPr>
      <t>같아야</t>
    </r>
    <r>
      <rPr>
        <sz val="9"/>
        <color theme="1"/>
        <rFont val="Calibri"/>
        <family val="2"/>
      </rPr>
      <t xml:space="preserve"> </t>
    </r>
    <r>
      <rPr>
        <sz val="9"/>
        <color theme="1"/>
        <rFont val="맑은 고딕"/>
        <family val="3"/>
        <charset val="129"/>
      </rPr>
      <t>합니다</t>
    </r>
    <r>
      <rPr>
        <sz val="9"/>
        <color theme="1"/>
        <rFont val="Calibri"/>
        <family val="2"/>
      </rPr>
      <t>.</t>
    </r>
  </si>
  <si>
    <t>Calculation Options</t>
    <phoneticPr fontId="11" type="noConversion"/>
  </si>
  <si>
    <r>
      <rPr>
        <sz val="9"/>
        <color theme="1"/>
        <rFont val="맑은 고딕"/>
        <family val="3"/>
        <charset val="129"/>
      </rPr>
      <t>계산</t>
    </r>
    <r>
      <rPr>
        <sz val="9"/>
        <color theme="1"/>
        <rFont val="Calibri"/>
        <family val="2"/>
      </rPr>
      <t xml:space="preserve"> </t>
    </r>
    <r>
      <rPr>
        <sz val="9"/>
        <color theme="1"/>
        <rFont val="맑은 고딕"/>
        <family val="3"/>
        <charset val="129"/>
      </rPr>
      <t>옵션</t>
    </r>
    <phoneticPr fontId="11" type="noConversion"/>
  </si>
  <si>
    <t>Calendar</t>
  </si>
  <si>
    <t>Cancel</t>
  </si>
  <si>
    <r>
      <rPr>
        <sz val="9"/>
        <color theme="1"/>
        <rFont val="맑은 고딕"/>
        <family val="3"/>
        <charset val="129"/>
      </rPr>
      <t>취소</t>
    </r>
  </si>
  <si>
    <t>Chart</t>
  </si>
  <si>
    <r>
      <rPr>
        <sz val="9"/>
        <color theme="1"/>
        <rFont val="맑은 고딕"/>
        <family val="3"/>
        <charset val="129"/>
      </rPr>
      <t>차트</t>
    </r>
  </si>
  <si>
    <t>Check for Updates</t>
  </si>
  <si>
    <r>
      <rPr>
        <sz val="9"/>
        <color theme="1"/>
        <rFont val="맑은 고딕"/>
        <family val="3"/>
        <charset val="129"/>
      </rPr>
      <t>최신버전</t>
    </r>
    <r>
      <rPr>
        <sz val="9"/>
        <color theme="1"/>
        <rFont val="Calibri"/>
        <family val="2"/>
      </rPr>
      <t>\n</t>
    </r>
    <r>
      <rPr>
        <sz val="9"/>
        <color theme="1"/>
        <rFont val="맑은 고딕"/>
        <family val="3"/>
        <charset val="129"/>
      </rPr>
      <t>확인</t>
    </r>
    <phoneticPr fontId="11" type="noConversion"/>
  </si>
  <si>
    <t xml:space="preserve">Check for Updates on Startup </t>
  </si>
  <si>
    <r>
      <rPr>
        <sz val="9"/>
        <color theme="1"/>
        <rFont val="맑은 고딕"/>
        <family val="3"/>
        <charset val="129"/>
      </rPr>
      <t>프로그램</t>
    </r>
    <r>
      <rPr>
        <sz val="9"/>
        <color theme="1"/>
        <rFont val="Calibri"/>
        <family val="2"/>
      </rPr>
      <t xml:space="preserve"> </t>
    </r>
    <r>
      <rPr>
        <sz val="9"/>
        <color theme="1"/>
        <rFont val="맑은 고딕"/>
        <family val="3"/>
        <charset val="129"/>
      </rPr>
      <t>시작</t>
    </r>
    <r>
      <rPr>
        <sz val="9"/>
        <color theme="1"/>
        <rFont val="Calibri"/>
        <family val="2"/>
      </rPr>
      <t xml:space="preserve"> </t>
    </r>
    <r>
      <rPr>
        <sz val="9"/>
        <color theme="1"/>
        <rFont val="맑은 고딕"/>
        <family val="3"/>
        <charset val="129"/>
      </rPr>
      <t>시</t>
    </r>
    <r>
      <rPr>
        <sz val="9"/>
        <color theme="1"/>
        <rFont val="Calibri"/>
        <family val="2"/>
      </rPr>
      <t xml:space="preserve"> </t>
    </r>
    <r>
      <rPr>
        <sz val="9"/>
        <color theme="1"/>
        <rFont val="맑은 고딕"/>
        <family val="3"/>
        <charset val="129"/>
      </rPr>
      <t>최신버전</t>
    </r>
    <r>
      <rPr>
        <sz val="9"/>
        <color theme="1"/>
        <rFont val="Calibri"/>
        <family val="2"/>
      </rPr>
      <t xml:space="preserve"> </t>
    </r>
    <r>
      <rPr>
        <sz val="9"/>
        <color theme="1"/>
        <rFont val="맑은 고딕"/>
        <family val="3"/>
        <charset val="129"/>
      </rPr>
      <t>확인</t>
    </r>
  </si>
  <si>
    <t>Check if you save deliverables in specific directory</t>
  </si>
  <si>
    <r>
      <rPr>
        <sz val="9"/>
        <color theme="1"/>
        <rFont val="맑은 고딕"/>
        <family val="3"/>
        <charset val="129"/>
      </rPr>
      <t>산출물</t>
    </r>
    <r>
      <rPr>
        <sz val="9"/>
        <color theme="1"/>
        <rFont val="Calibri"/>
        <family val="2"/>
      </rPr>
      <t xml:space="preserve"> </t>
    </r>
    <r>
      <rPr>
        <sz val="9"/>
        <color theme="1"/>
        <rFont val="맑은 고딕"/>
        <family val="3"/>
        <charset val="129"/>
      </rPr>
      <t>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체크하세요</t>
    </r>
  </si>
  <si>
    <t>Choose a file type to import</t>
  </si>
  <si>
    <r>
      <rPr>
        <sz val="9"/>
        <color theme="1"/>
        <rFont val="맑은 고딕"/>
        <family val="3"/>
        <charset val="129"/>
      </rPr>
      <t>가져올</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종류</t>
    </r>
    <r>
      <rPr>
        <sz val="9"/>
        <color theme="1"/>
        <rFont val="Calibri"/>
        <family val="2"/>
      </rPr>
      <t xml:space="preserve"> </t>
    </r>
    <r>
      <rPr>
        <sz val="9"/>
        <color theme="1"/>
        <rFont val="맑은 고딕"/>
        <family val="3"/>
        <charset val="129"/>
      </rPr>
      <t>선택</t>
    </r>
  </si>
  <si>
    <t>Choose a language used in XLGantt</t>
  </si>
  <si>
    <r>
      <t>XLGantt</t>
    </r>
    <r>
      <rPr>
        <sz val="9"/>
        <color theme="1"/>
        <rFont val="맑은 고딕"/>
        <family val="3"/>
        <charset val="129"/>
      </rPr>
      <t>에서</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언어</t>
    </r>
    <r>
      <rPr>
        <sz val="9"/>
        <color theme="1"/>
        <rFont val="Calibri"/>
        <family val="2"/>
      </rPr>
      <t xml:space="preserve"> </t>
    </r>
    <r>
      <rPr>
        <sz val="9"/>
        <color theme="1"/>
        <rFont val="맑은 고딕"/>
        <family val="3"/>
        <charset val="129"/>
      </rPr>
      <t>선택</t>
    </r>
  </si>
  <si>
    <t>Choose a language used in XLGantt.</t>
  </si>
  <si>
    <r>
      <t>XLGantt</t>
    </r>
    <r>
      <rPr>
        <sz val="9"/>
        <color theme="1"/>
        <rFont val="맑은 고딕"/>
        <family val="3"/>
        <charset val="129"/>
      </rPr>
      <t>에서</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r>
      <rPr>
        <sz val="9"/>
        <color theme="1"/>
        <rFont val="Calibri"/>
        <family val="2"/>
      </rPr>
      <t>.</t>
    </r>
  </si>
  <si>
    <t>Choose a language.</t>
  </si>
  <si>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</si>
  <si>
    <t>Choose an import option.</t>
  </si>
  <si>
    <r>
      <rPr>
        <sz val="9"/>
        <color theme="1"/>
        <rFont val="맑은 고딕"/>
        <family val="3"/>
        <charset val="129"/>
      </rPr>
      <t>가져오기</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선택하세요</t>
    </r>
    <r>
      <rPr>
        <sz val="9"/>
        <color theme="1"/>
        <rFont val="Calibri"/>
        <family val="2"/>
      </rPr>
      <t>.</t>
    </r>
  </si>
  <si>
    <t>Choose directly</t>
  </si>
  <si>
    <r>
      <rPr>
        <sz val="9"/>
        <color theme="1"/>
        <rFont val="맑은 고딕"/>
        <family val="3"/>
        <charset val="129"/>
      </rPr>
      <t>컴퓨터</t>
    </r>
    <r>
      <rPr>
        <sz val="9"/>
        <color theme="1"/>
        <rFont val="Calibri"/>
        <family val="2"/>
      </rPr>
      <t xml:space="preserve"> O/S</t>
    </r>
    <r>
      <rPr>
        <sz val="9"/>
        <color theme="1"/>
        <rFont val="맑은 고딕"/>
        <family val="3"/>
        <charset val="129"/>
      </rPr>
      <t>와</t>
    </r>
    <r>
      <rPr>
        <sz val="9"/>
        <color theme="1"/>
        <rFont val="Calibri"/>
        <family val="2"/>
      </rPr>
      <t xml:space="preserve"> </t>
    </r>
    <r>
      <rPr>
        <sz val="9"/>
        <color theme="1"/>
        <rFont val="맑은 고딕"/>
        <family val="3"/>
        <charset val="129"/>
      </rPr>
      <t>관계없이</t>
    </r>
    <r>
      <rPr>
        <sz val="9"/>
        <color theme="1"/>
        <rFont val="Calibri"/>
        <family val="2"/>
      </rPr>
      <t xml:space="preserve"> </t>
    </r>
    <r>
      <rPr>
        <sz val="9"/>
        <color theme="1"/>
        <rFont val="맑은 고딕"/>
        <family val="3"/>
        <charset val="129"/>
      </rPr>
      <t>직접</t>
    </r>
    <r>
      <rPr>
        <sz val="9"/>
        <color theme="1"/>
        <rFont val="Calibri"/>
        <family val="2"/>
      </rPr>
      <t xml:space="preserve"> </t>
    </r>
    <r>
      <rPr>
        <sz val="9"/>
        <color theme="1"/>
        <rFont val="맑은 고딕"/>
        <family val="3"/>
        <charset val="129"/>
      </rPr>
      <t>선택</t>
    </r>
  </si>
  <si>
    <t>Choose the Type of Deliverables</t>
  </si>
  <si>
    <r>
      <rPr>
        <sz val="9"/>
        <color theme="1"/>
        <rFont val="맑은 고딕"/>
        <family val="3"/>
        <charset val="129"/>
      </rPr>
      <t>산출물</t>
    </r>
    <r>
      <rPr>
        <sz val="9"/>
        <color theme="1"/>
        <rFont val="Calibri"/>
        <family val="2"/>
      </rPr>
      <t xml:space="preserve"> </t>
    </r>
    <r>
      <rPr>
        <sz val="9"/>
        <color theme="1"/>
        <rFont val="맑은 고딕"/>
        <family val="3"/>
        <charset val="129"/>
      </rPr>
      <t>종류를</t>
    </r>
    <r>
      <rPr>
        <sz val="9"/>
        <color theme="1"/>
        <rFont val="Calibri"/>
        <family val="2"/>
      </rPr>
      <t xml:space="preserve"> </t>
    </r>
    <r>
      <rPr>
        <sz val="9"/>
        <color theme="1"/>
        <rFont val="맑은 고딕"/>
        <family val="3"/>
        <charset val="129"/>
      </rPr>
      <t>선택하세요</t>
    </r>
  </si>
  <si>
    <t>Choose what to do after Importing Server Data</t>
    <phoneticPr fontId="11" type="noConversion"/>
  </si>
  <si>
    <r>
      <rPr>
        <sz val="9"/>
        <color theme="1"/>
        <rFont val="맑은 고딕"/>
        <family val="3"/>
        <charset val="129"/>
      </rPr>
      <t>서버데이터</t>
    </r>
    <r>
      <rPr>
        <sz val="9"/>
        <color theme="1"/>
        <rFont val="Calibri"/>
        <family val="2"/>
      </rPr>
      <t xml:space="preserve"> </t>
    </r>
    <r>
      <rPr>
        <sz val="9"/>
        <color theme="1"/>
        <rFont val="맑은 고딕"/>
        <family val="3"/>
        <charset val="129"/>
      </rPr>
      <t>가져온</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수행할</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선택</t>
    </r>
    <phoneticPr fontId="11" type="noConversion"/>
  </si>
  <si>
    <t>Close</t>
  </si>
  <si>
    <r>
      <rPr>
        <sz val="9"/>
        <color theme="1"/>
        <rFont val="맑은 고딕"/>
        <family val="3"/>
        <charset val="129"/>
      </rPr>
      <t>닫기</t>
    </r>
  </si>
  <si>
    <t>Color Theme</t>
    <phoneticPr fontId="11" type="noConversion"/>
  </si>
  <si>
    <r>
      <rPr>
        <sz val="9"/>
        <color theme="1"/>
        <rFont val="맑은 고딕"/>
        <family val="3"/>
        <charset val="129"/>
      </rPr>
      <t>컬러</t>
    </r>
    <r>
      <rPr>
        <sz val="9"/>
        <color theme="1"/>
        <rFont val="Calibri"/>
        <family val="2"/>
      </rPr>
      <t xml:space="preserve"> </t>
    </r>
    <r>
      <rPr>
        <sz val="9"/>
        <color theme="1"/>
        <rFont val="맑은 고딕"/>
        <family val="3"/>
        <charset val="129"/>
      </rPr>
      <t>테마</t>
    </r>
    <phoneticPr fontId="11" type="noConversion"/>
  </si>
  <si>
    <t>Completed(=100%)</t>
  </si>
  <si>
    <r>
      <rPr>
        <sz val="9"/>
        <color theme="1"/>
        <rFont val="맑은 고딕"/>
        <family val="3"/>
        <charset val="129"/>
      </rPr>
      <t>완료</t>
    </r>
  </si>
  <si>
    <t>Contains</t>
  </si>
  <si>
    <r>
      <rPr>
        <sz val="9"/>
        <color theme="1"/>
        <rFont val="맑은 고딕"/>
        <family val="3"/>
        <charset val="129"/>
      </rPr>
      <t>포함</t>
    </r>
  </si>
  <si>
    <t>Create Workload Data by Months</t>
  </si>
  <si>
    <r>
      <t>Workload Data</t>
    </r>
    <r>
      <rPr>
        <sz val="9"/>
        <color theme="1"/>
        <rFont val="맑은 고딕"/>
        <family val="3"/>
        <charset val="129"/>
      </rPr>
      <t>생성</t>
    </r>
    <r>
      <rPr>
        <sz val="9"/>
        <color theme="1"/>
        <rFont val="Calibri"/>
        <family val="2"/>
      </rPr>
      <t>(</t>
    </r>
    <r>
      <rPr>
        <sz val="9"/>
        <color theme="1"/>
        <rFont val="맑은 고딕"/>
        <family val="3"/>
        <charset val="129"/>
      </rPr>
      <t>월별</t>
    </r>
    <r>
      <rPr>
        <sz val="9"/>
        <color theme="1"/>
        <rFont val="Calibri"/>
        <family val="2"/>
      </rPr>
      <t>)</t>
    </r>
  </si>
  <si>
    <t>Create Workload Data by Weeks</t>
    <phoneticPr fontId="11" type="noConversion"/>
  </si>
  <si>
    <r>
      <t>Workload Data</t>
    </r>
    <r>
      <rPr>
        <sz val="9"/>
        <color theme="1"/>
        <rFont val="맑은 고딕"/>
        <family val="3"/>
        <charset val="129"/>
      </rPr>
      <t>생성</t>
    </r>
    <r>
      <rPr>
        <sz val="9"/>
        <color theme="1"/>
        <rFont val="Calibri"/>
        <family val="2"/>
      </rPr>
      <t>(</t>
    </r>
    <r>
      <rPr>
        <sz val="9"/>
        <color theme="1"/>
        <rFont val="맑은 고딕"/>
        <family val="3"/>
        <charset val="129"/>
      </rPr>
      <t>주별</t>
    </r>
    <r>
      <rPr>
        <sz val="9"/>
        <color theme="1"/>
        <rFont val="Calibri"/>
        <family val="2"/>
      </rPr>
      <t>)</t>
    </r>
    <phoneticPr fontId="11" type="noConversion"/>
  </si>
  <si>
    <t>Current Version</t>
  </si>
  <si>
    <r>
      <rPr>
        <sz val="9"/>
        <color theme="1"/>
        <rFont val="맑은 고딕"/>
        <family val="3"/>
        <charset val="129"/>
      </rPr>
      <t>현재</t>
    </r>
    <r>
      <rPr>
        <sz val="9"/>
        <color theme="1"/>
        <rFont val="Calibri"/>
        <family val="2"/>
      </rPr>
      <t xml:space="preserve"> </t>
    </r>
    <r>
      <rPr>
        <sz val="9"/>
        <color theme="1"/>
        <rFont val="맑은 고딕"/>
        <family val="3"/>
        <charset val="129"/>
      </rPr>
      <t>사용중인</t>
    </r>
    <r>
      <rPr>
        <sz val="9"/>
        <color theme="1"/>
        <rFont val="Calibri"/>
        <family val="2"/>
      </rPr>
      <t xml:space="preserve"> </t>
    </r>
    <r>
      <rPr>
        <sz val="9"/>
        <color theme="1"/>
        <rFont val="맑은 고딕"/>
        <family val="3"/>
        <charset val="129"/>
      </rPr>
      <t>버전</t>
    </r>
  </si>
  <si>
    <t>Custom</t>
    <phoneticPr fontId="11" type="noConversion"/>
  </si>
  <si>
    <r>
      <rPr>
        <sz val="9"/>
        <color theme="1"/>
        <rFont val="맑은 고딕"/>
        <family val="3"/>
        <charset val="129"/>
      </rPr>
      <t>사용자</t>
    </r>
    <r>
      <rPr>
        <sz val="9"/>
        <color theme="1"/>
        <rFont val="Calibri"/>
        <family val="2"/>
      </rPr>
      <t xml:space="preserve"> </t>
    </r>
    <r>
      <rPr>
        <sz val="9"/>
        <color theme="1"/>
        <rFont val="맑은 고딕"/>
        <family val="3"/>
        <charset val="129"/>
      </rPr>
      <t>정의</t>
    </r>
    <phoneticPr fontId="11" type="noConversion"/>
  </si>
  <si>
    <t>Daily</t>
  </si>
  <si>
    <r>
      <rPr>
        <sz val="9"/>
        <color theme="1"/>
        <rFont val="맑은 고딕"/>
        <family val="3"/>
        <charset val="129"/>
      </rPr>
      <t>일별</t>
    </r>
  </si>
  <si>
    <t>Daily view</t>
  </si>
  <si>
    <r>
      <rPr>
        <sz val="9"/>
        <color theme="1"/>
        <rFont val="맑은 고딕"/>
        <family val="3"/>
        <charset val="129"/>
      </rPr>
      <t>일별보기</t>
    </r>
  </si>
  <si>
    <t>Days (Average number of working days per month)</t>
  </si>
  <si>
    <r>
      <rPr>
        <sz val="9"/>
        <color theme="1"/>
        <rFont val="맑은 고딕"/>
        <family val="3"/>
        <charset val="129"/>
      </rPr>
      <t>일</t>
    </r>
    <r>
      <rPr>
        <sz val="9"/>
        <color theme="1"/>
        <rFont val="Calibri"/>
        <family val="2"/>
      </rPr>
      <t xml:space="preserve"> (</t>
    </r>
    <r>
      <rPr>
        <sz val="9"/>
        <color theme="1"/>
        <rFont val="맑은 고딕"/>
        <family val="3"/>
        <charset val="129"/>
      </rPr>
      <t>월평균</t>
    </r>
    <r>
      <rPr>
        <sz val="9"/>
        <color theme="1"/>
        <rFont val="Calibri"/>
        <family val="2"/>
      </rPr>
      <t xml:space="preserve"> </t>
    </r>
    <r>
      <rPr>
        <sz val="9"/>
        <color theme="1"/>
        <rFont val="맑은 고딕"/>
        <family val="3"/>
        <charset val="129"/>
      </rPr>
      <t>근무일수</t>
    </r>
    <r>
      <rPr>
        <sz val="9"/>
        <color theme="1"/>
        <rFont val="Calibri"/>
        <family val="2"/>
      </rPr>
      <t>)</t>
    </r>
  </si>
  <si>
    <t xml:space="preserve">Days counted as Nonworking days </t>
  </si>
  <si>
    <r>
      <rPr>
        <sz val="9"/>
        <color theme="1"/>
        <rFont val="맑은 고딕"/>
        <family val="3"/>
        <charset val="129"/>
      </rPr>
      <t>휴무일로</t>
    </r>
    <r>
      <rPr>
        <sz val="9"/>
        <color theme="1"/>
        <rFont val="Calibri"/>
        <family val="2"/>
      </rPr>
      <t xml:space="preserve"> </t>
    </r>
    <r>
      <rPr>
        <sz val="9"/>
        <color theme="1"/>
        <rFont val="맑은 고딕"/>
        <family val="3"/>
        <charset val="129"/>
      </rPr>
      <t>계산되는</t>
    </r>
    <r>
      <rPr>
        <sz val="9"/>
        <color theme="1"/>
        <rFont val="Calibri"/>
        <family val="2"/>
      </rPr>
      <t xml:space="preserve"> </t>
    </r>
    <r>
      <rPr>
        <sz val="9"/>
        <color theme="1"/>
        <rFont val="맑은 고딕"/>
        <family val="3"/>
        <charset val="129"/>
      </rPr>
      <t>날</t>
    </r>
  </si>
  <si>
    <t>Default</t>
    <phoneticPr fontId="11" type="noConversion"/>
  </si>
  <si>
    <r>
      <rPr>
        <sz val="9"/>
        <color theme="1"/>
        <rFont val="맑은 고딕"/>
        <family val="3"/>
        <charset val="129"/>
      </rPr>
      <t>기본</t>
    </r>
    <phoneticPr fontId="11" type="noConversion"/>
  </si>
  <si>
    <t>Deliverables</t>
  </si>
  <si>
    <r>
      <rPr>
        <sz val="9"/>
        <color theme="1"/>
        <rFont val="맑은 고딕"/>
        <family val="3"/>
        <charset val="129"/>
      </rPr>
      <t>산출물</t>
    </r>
  </si>
  <si>
    <t>Deliverables field.</t>
  </si>
  <si>
    <r>
      <rPr>
        <sz val="9"/>
        <color theme="1"/>
        <rFont val="맑은 고딕"/>
        <family val="3"/>
        <charset val="129"/>
      </rPr>
      <t>산출물</t>
    </r>
    <r>
      <rPr>
        <sz val="9"/>
        <color theme="1"/>
        <rFont val="Calibri"/>
        <family val="2"/>
      </rPr>
      <t xml:space="preserve"> </t>
    </r>
    <r>
      <rPr>
        <sz val="9"/>
        <color theme="1"/>
        <rFont val="맑은 고딕"/>
        <family val="3"/>
        <charset val="129"/>
      </rPr>
      <t>필드입니다</t>
    </r>
    <r>
      <rPr>
        <sz val="9"/>
        <color theme="1"/>
        <rFont val="Calibri"/>
        <family val="2"/>
      </rPr>
      <t>.</t>
    </r>
  </si>
  <si>
    <t>Deliverables type is not selected</t>
  </si>
  <si>
    <r>
      <rPr>
        <sz val="9"/>
        <color theme="1"/>
        <rFont val="맑은 고딕"/>
        <family val="3"/>
        <charset val="129"/>
      </rPr>
      <t>산출물</t>
    </r>
    <r>
      <rPr>
        <sz val="9"/>
        <color theme="1"/>
        <rFont val="Calibri"/>
        <family val="2"/>
      </rPr>
      <t xml:space="preserve"> </t>
    </r>
    <r>
      <rPr>
        <sz val="9"/>
        <color theme="1"/>
        <rFont val="맑은 고딕"/>
        <family val="3"/>
        <charset val="129"/>
      </rPr>
      <t>종류가</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</si>
  <si>
    <t>Display  % Work Complete</t>
  </si>
  <si>
    <r>
      <rPr>
        <sz val="9"/>
        <color theme="1"/>
        <rFont val="맑은 고딕"/>
        <family val="3"/>
        <charset val="129"/>
      </rPr>
      <t>실적진척율</t>
    </r>
    <r>
      <rPr>
        <sz val="9"/>
        <color theme="1"/>
        <rFont val="Calibri"/>
        <family val="2"/>
      </rPr>
      <t xml:space="preserve"> </t>
    </r>
    <r>
      <rPr>
        <sz val="9"/>
        <color theme="1"/>
        <rFont val="맑은 고딕"/>
        <family val="3"/>
        <charset val="129"/>
      </rPr>
      <t>표시</t>
    </r>
  </si>
  <si>
    <t>Display date</t>
  </si>
  <si>
    <r>
      <rPr>
        <sz val="9"/>
        <color theme="1"/>
        <rFont val="맑은 고딕"/>
        <family val="3"/>
        <charset val="129"/>
      </rPr>
      <t>날짜</t>
    </r>
    <r>
      <rPr>
        <sz val="9"/>
        <color theme="1"/>
        <rFont val="Calibri"/>
        <family val="2"/>
      </rPr>
      <t xml:space="preserve"> </t>
    </r>
    <r>
      <rPr>
        <sz val="9"/>
        <color theme="1"/>
        <rFont val="맑은 고딕"/>
        <family val="3"/>
        <charset val="129"/>
      </rPr>
      <t>표시</t>
    </r>
  </si>
  <si>
    <t>Display date on the timescale</t>
    <phoneticPr fontId="1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</si>
  <si>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표시</t>
    </r>
    <phoneticPr fontId="11" type="noConversion"/>
  </si>
  <si>
    <t>Display font color to gray for the completed tasks</t>
    <phoneticPr fontId="11" type="noConversion"/>
  </si>
  <si>
    <r>
      <rPr>
        <sz val="9"/>
        <color theme="1"/>
        <rFont val="맑은 고딕"/>
        <family val="3"/>
        <charset val="129"/>
      </rPr>
      <t>완료된</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폰트색상</t>
    </r>
    <r>
      <rPr>
        <sz val="9"/>
        <color theme="1"/>
        <rFont val="Calibri"/>
        <family val="2"/>
      </rPr>
      <t xml:space="preserve"> </t>
    </r>
    <r>
      <rPr>
        <sz val="9"/>
        <color theme="1"/>
        <rFont val="맑은 고딕"/>
        <family val="3"/>
        <charset val="129"/>
      </rPr>
      <t>회색표시</t>
    </r>
  </si>
  <si>
    <t>Display interior color to gray for the task groups</t>
    <phoneticPr fontId="11" type="noConversion"/>
  </si>
  <si>
    <r>
      <rPr>
        <sz val="9"/>
        <color theme="1"/>
        <rFont val="맑은 고딕"/>
        <family val="3"/>
        <charset val="129"/>
      </rPr>
      <t>작업그룹의</t>
    </r>
    <r>
      <rPr>
        <sz val="9"/>
        <color theme="1"/>
        <rFont val="Calibri"/>
        <family val="2"/>
      </rPr>
      <t xml:space="preserve"> </t>
    </r>
    <r>
      <rPr>
        <sz val="9"/>
        <color theme="1"/>
        <rFont val="맑은 고딕"/>
        <family val="3"/>
        <charset val="129"/>
      </rPr>
      <t>배경색</t>
    </r>
    <r>
      <rPr>
        <sz val="9"/>
        <color theme="1"/>
        <rFont val="Calibri"/>
        <family val="2"/>
      </rPr>
      <t xml:space="preserve"> </t>
    </r>
    <r>
      <rPr>
        <sz val="9"/>
        <color theme="1"/>
        <rFont val="맑은 고딕"/>
        <family val="3"/>
        <charset val="129"/>
      </rPr>
      <t>회색표시</t>
    </r>
  </si>
  <si>
    <t>Display Planned %Work Complete</t>
  </si>
  <si>
    <r>
      <rPr>
        <sz val="9"/>
        <color theme="1"/>
        <rFont val="맑은 고딕"/>
        <family val="3"/>
        <charset val="129"/>
      </rPr>
      <t>계획진척율</t>
    </r>
    <r>
      <rPr>
        <sz val="9"/>
        <color theme="1"/>
        <rFont val="Calibri"/>
        <family val="2"/>
      </rPr>
      <t xml:space="preserve"> </t>
    </r>
    <r>
      <rPr>
        <sz val="9"/>
        <color theme="1"/>
        <rFont val="맑은 고딕"/>
        <family val="3"/>
        <charset val="129"/>
      </rPr>
      <t>표시</t>
    </r>
  </si>
  <si>
    <t>Display project week number on the timescale</t>
    <phoneticPr fontId="1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</si>
  <si>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주차</t>
    </r>
    <r>
      <rPr>
        <sz val="9"/>
        <color theme="1"/>
        <rFont val="Calibri"/>
        <family val="2"/>
      </rPr>
      <t xml:space="preserve"> </t>
    </r>
    <r>
      <rPr>
        <sz val="9"/>
        <color theme="1"/>
        <rFont val="맑은 고딕"/>
        <family val="3"/>
        <charset val="129"/>
      </rPr>
      <t>표시</t>
    </r>
    <phoneticPr fontId="11" type="noConversion"/>
  </si>
  <si>
    <t>Display resource</t>
  </si>
  <si>
    <r>
      <rPr>
        <sz val="9"/>
        <color theme="1"/>
        <rFont val="맑은 고딕"/>
        <family val="3"/>
        <charset val="129"/>
      </rPr>
      <t>담당</t>
    </r>
    <r>
      <rPr>
        <sz val="9"/>
        <color theme="1"/>
        <rFont val="Calibri"/>
        <family val="2"/>
      </rPr>
      <t xml:space="preserve"> </t>
    </r>
    <r>
      <rPr>
        <sz val="9"/>
        <color theme="1"/>
        <rFont val="맑은 고딕"/>
        <family val="3"/>
        <charset val="129"/>
      </rPr>
      <t>표시</t>
    </r>
  </si>
  <si>
    <t xml:space="preserve">Display task name </t>
  </si>
  <si>
    <r>
      <rPr>
        <sz val="9"/>
        <color theme="1"/>
        <rFont val="맑은 고딕"/>
        <family val="3"/>
        <charset val="129"/>
      </rPr>
      <t>작업명</t>
    </r>
    <r>
      <rPr>
        <sz val="9"/>
        <color theme="1"/>
        <rFont val="Calibri"/>
        <family val="2"/>
      </rPr>
      <t xml:space="preserve"> </t>
    </r>
    <r>
      <rPr>
        <sz val="9"/>
        <color theme="1"/>
        <rFont val="맑은 고딕"/>
        <family val="3"/>
        <charset val="129"/>
      </rPr>
      <t>표시</t>
    </r>
  </si>
  <si>
    <t>Display the task name in the same field</t>
  </si>
  <si>
    <r>
      <rPr>
        <sz val="9"/>
        <color theme="1"/>
        <rFont val="맑은 고딕"/>
        <family val="3"/>
        <charset val="129"/>
      </rPr>
      <t>같은</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</si>
  <si>
    <t>Display the total workload of the project</t>
  </si>
  <si>
    <r>
      <rPr>
        <sz val="9"/>
        <color theme="1"/>
        <rFont val="맑은 고딕"/>
        <family val="3"/>
        <charset val="129"/>
      </rPr>
      <t>프로젝트</t>
    </r>
    <r>
      <rPr>
        <sz val="9"/>
        <color theme="1"/>
        <rFont val="Calibri"/>
        <family val="2"/>
      </rPr>
      <t xml:space="preserve"> </t>
    </r>
    <r>
      <rPr>
        <sz val="9"/>
        <color theme="1"/>
        <rFont val="맑은 고딕"/>
        <family val="3"/>
        <charset val="129"/>
      </rPr>
      <t>전체의</t>
    </r>
    <r>
      <rPr>
        <sz val="9"/>
        <color theme="1"/>
        <rFont val="Calibri"/>
        <family val="2"/>
      </rPr>
      <t xml:space="preserve"> </t>
    </r>
    <r>
      <rPr>
        <sz val="9"/>
        <color theme="1"/>
        <rFont val="맑은 고딕"/>
        <family val="3"/>
        <charset val="129"/>
      </rPr>
      <t>작업량을</t>
    </r>
    <r>
      <rPr>
        <sz val="9"/>
        <color theme="1"/>
        <rFont val="Calibri"/>
        <family val="2"/>
      </rPr>
      <t xml:space="preserve"> Man/Day</t>
    </r>
    <r>
      <rPr>
        <sz val="9"/>
        <color theme="1"/>
        <rFont val="맑은 고딕"/>
        <family val="3"/>
        <charset val="129"/>
      </rPr>
      <t>로</t>
    </r>
    <r>
      <rPr>
        <sz val="9"/>
        <color theme="1"/>
        <rFont val="Calibri"/>
        <family val="2"/>
      </rPr>
      <t xml:space="preserve"> </t>
    </r>
    <r>
      <rPr>
        <sz val="9"/>
        <color theme="1"/>
        <rFont val="맑은 고딕"/>
        <family val="3"/>
        <charset val="129"/>
      </rPr>
      <t>표시한다</t>
    </r>
    <r>
      <rPr>
        <sz val="9"/>
        <color theme="1"/>
        <rFont val="Calibri"/>
        <family val="2"/>
      </rPr>
      <t xml:space="preserve">. </t>
    </r>
    <r>
      <rPr>
        <sz val="9"/>
        <color theme="1"/>
        <rFont val="맑은 고딕"/>
        <family val="3"/>
        <charset val="129"/>
      </rPr>
      <t>가중치를</t>
    </r>
    <r>
      <rPr>
        <sz val="9"/>
        <color theme="1"/>
        <rFont val="Calibri"/>
        <family val="2"/>
      </rPr>
      <t xml:space="preserve"> </t>
    </r>
    <r>
      <rPr>
        <sz val="9"/>
        <color theme="1"/>
        <rFont val="맑은 고딕"/>
        <family val="3"/>
        <charset val="129"/>
      </rPr>
      <t>적용한</t>
    </r>
    <r>
      <rPr>
        <sz val="9"/>
        <color theme="1"/>
        <rFont val="Calibri"/>
        <family val="2"/>
      </rPr>
      <t xml:space="preserve"> </t>
    </r>
    <r>
      <rPr>
        <sz val="9"/>
        <color theme="1"/>
        <rFont val="맑은 고딕"/>
        <family val="3"/>
        <charset val="129"/>
      </rPr>
      <t>값이다</t>
    </r>
    <r>
      <rPr>
        <sz val="9"/>
        <color theme="1"/>
        <rFont val="Calibri"/>
        <family val="2"/>
      </rPr>
      <t>.</t>
    </r>
  </si>
  <si>
    <t>Display year on the timescale</t>
    <phoneticPr fontId="1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</si>
  <si>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년도</t>
    </r>
    <r>
      <rPr>
        <sz val="9"/>
        <color theme="1"/>
        <rFont val="Calibri"/>
        <family val="2"/>
      </rPr>
      <t xml:space="preserve"> </t>
    </r>
    <r>
      <rPr>
        <sz val="9"/>
        <color theme="1"/>
        <rFont val="맑은 고딕"/>
        <family val="3"/>
        <charset val="129"/>
      </rPr>
      <t>표시</t>
    </r>
    <phoneticPr fontId="11" type="noConversion"/>
  </si>
  <si>
    <t>Displayed in %Work complete column</t>
    <phoneticPr fontId="11" type="noConversion"/>
  </si>
  <si>
    <r>
      <rPr>
        <sz val="9"/>
        <color theme="1"/>
        <rFont val="맑은 고딕"/>
        <family val="3"/>
        <charset val="129"/>
      </rPr>
      <t>실적</t>
    </r>
    <r>
      <rPr>
        <sz val="9"/>
        <color theme="1"/>
        <rFont val="Calibri"/>
        <family val="2"/>
      </rPr>
      <t xml:space="preserve"> </t>
    </r>
    <r>
      <rPr>
        <sz val="9"/>
        <color theme="1"/>
        <rFont val="맑은 고딕"/>
        <family val="3"/>
        <charset val="129"/>
      </rPr>
      <t>열에</t>
    </r>
    <r>
      <rPr>
        <sz val="9"/>
        <color theme="1"/>
        <rFont val="Calibri"/>
        <family val="2"/>
      </rPr>
      <t xml:space="preserve"> </t>
    </r>
    <r>
      <rPr>
        <sz val="9"/>
        <color theme="1"/>
        <rFont val="맑은 고딕"/>
        <family val="3"/>
        <charset val="129"/>
      </rPr>
      <t>표시됨</t>
    </r>
    <phoneticPr fontId="11" type="noConversion"/>
  </si>
  <si>
    <t>Displays the task name in the different field for each level</t>
  </si>
  <si>
    <r>
      <t>Level</t>
    </r>
    <r>
      <rPr>
        <sz val="9"/>
        <color theme="1"/>
        <rFont val="맑은 고딕"/>
        <family val="3"/>
        <charset val="129"/>
      </rPr>
      <t>별로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</si>
  <si>
    <t>Do not recalculate WBS area after import</t>
    <phoneticPr fontId="11" type="noConversion"/>
  </si>
  <si>
    <r>
      <rPr>
        <sz val="9"/>
        <color theme="1"/>
        <rFont val="맑은 고딕"/>
        <family val="3"/>
        <charset val="129"/>
      </rPr>
      <t>가져오기</t>
    </r>
    <r>
      <rPr>
        <sz val="9"/>
        <color theme="1"/>
        <rFont val="Calibri"/>
        <family val="2"/>
      </rPr>
      <t xml:space="preserve"> </t>
    </r>
    <r>
      <rPr>
        <sz val="9"/>
        <color theme="1"/>
        <rFont val="맑은 고딕"/>
        <family val="3"/>
        <charset val="129"/>
      </rPr>
      <t>후</t>
    </r>
    <r>
      <rPr>
        <sz val="9"/>
        <color theme="1"/>
        <rFont val="Calibri"/>
        <family val="2"/>
      </rPr>
      <t xml:space="preserve"> WBS</t>
    </r>
    <r>
      <rPr>
        <sz val="9"/>
        <color theme="1"/>
        <rFont val="맑은 고딕"/>
        <family val="3"/>
        <charset val="129"/>
      </rPr>
      <t>영역</t>
    </r>
    <r>
      <rPr>
        <sz val="9"/>
        <color theme="1"/>
        <rFont val="Calibri"/>
        <family val="2"/>
      </rPr>
      <t xml:space="preserve"> </t>
    </r>
    <r>
      <rPr>
        <sz val="9"/>
        <color theme="1"/>
        <rFont val="맑은 고딕"/>
        <family val="3"/>
        <charset val="129"/>
      </rPr>
      <t>재계산</t>
    </r>
    <r>
      <rPr>
        <sz val="9"/>
        <color theme="1"/>
        <rFont val="Calibri"/>
        <family val="2"/>
      </rPr>
      <t xml:space="preserve"> </t>
    </r>
    <r>
      <rPr>
        <sz val="9"/>
        <color theme="1"/>
        <rFont val="맑은 고딕"/>
        <family val="3"/>
        <charset val="129"/>
      </rPr>
      <t>안함</t>
    </r>
    <phoneticPr fontId="11" type="noConversion"/>
  </si>
  <si>
    <t>Download the latest version</t>
  </si>
  <si>
    <r>
      <rPr>
        <sz val="9"/>
        <color theme="1"/>
        <rFont val="맑은 고딕"/>
        <family val="3"/>
        <charset val="129"/>
      </rPr>
      <t>프로그램</t>
    </r>
    <r>
      <rPr>
        <sz val="9"/>
        <color theme="1"/>
        <rFont val="Calibri"/>
        <family val="2"/>
      </rPr>
      <t xml:space="preserve"> </t>
    </r>
    <r>
      <rPr>
        <sz val="9"/>
        <color theme="1"/>
        <rFont val="맑은 고딕"/>
        <family val="3"/>
        <charset val="129"/>
      </rPr>
      <t>최신버전</t>
    </r>
    <r>
      <rPr>
        <sz val="9"/>
        <color theme="1"/>
        <rFont val="Calibri"/>
        <family val="2"/>
      </rPr>
      <t xml:space="preserve"> </t>
    </r>
    <r>
      <rPr>
        <sz val="9"/>
        <color theme="1"/>
        <rFont val="맑은 고딕"/>
        <family val="3"/>
        <charset val="129"/>
      </rPr>
      <t>다운로드</t>
    </r>
  </si>
  <si>
    <t>Drawing Gantt chart</t>
  </si>
  <si>
    <r>
      <t xml:space="preserve">Gantt chart </t>
    </r>
    <r>
      <rPr>
        <sz val="9"/>
        <color theme="1"/>
        <rFont val="맑은 고딕"/>
        <family val="3"/>
        <charset val="129"/>
      </rPr>
      <t>그리기</t>
    </r>
    <r>
      <rPr>
        <sz val="9"/>
        <color theme="1"/>
        <rFont val="Calibri"/>
        <family val="2"/>
      </rPr>
      <t xml:space="preserve"> </t>
    </r>
    <r>
      <rPr>
        <sz val="9"/>
        <color theme="1"/>
        <rFont val="맑은 고딕"/>
        <family val="3"/>
        <charset val="129"/>
      </rPr>
      <t>작업</t>
    </r>
  </si>
  <si>
    <t>Drawing progress line</t>
  </si>
  <si>
    <r>
      <rPr>
        <sz val="9"/>
        <color theme="1"/>
        <rFont val="맑은 고딕"/>
        <family val="3"/>
        <charset val="129"/>
      </rPr>
      <t>진척율선</t>
    </r>
    <r>
      <rPr>
        <sz val="9"/>
        <color theme="1"/>
        <rFont val="Calibri"/>
        <family val="2"/>
      </rPr>
      <t xml:space="preserve"> </t>
    </r>
    <r>
      <rPr>
        <sz val="9"/>
        <color theme="1"/>
        <rFont val="맑은 고딕"/>
        <family val="3"/>
        <charset val="129"/>
      </rPr>
      <t>그리기</t>
    </r>
  </si>
  <si>
    <t xml:space="preserve">Duration </t>
  </si>
  <si>
    <r>
      <rPr>
        <sz val="9"/>
        <color theme="1"/>
        <rFont val="맑은 고딕"/>
        <family val="3"/>
        <charset val="129"/>
      </rPr>
      <t>기간</t>
    </r>
    <r>
      <rPr>
        <sz val="9"/>
        <color theme="1"/>
        <rFont val="Calibri"/>
        <family val="2"/>
      </rPr>
      <t xml:space="preserve"> </t>
    </r>
    <r>
      <rPr>
        <sz val="9"/>
        <color theme="1"/>
        <rFont val="맑은 고딕"/>
        <family val="3"/>
        <charset val="129"/>
      </rPr>
      <t>지정</t>
    </r>
  </si>
  <si>
    <t>Earned Value Accumulated(Man-Day)</t>
    <phoneticPr fontId="11" type="noConversion"/>
  </si>
  <si>
    <r>
      <rPr>
        <sz val="9"/>
        <color theme="1"/>
        <rFont val="맑은 고딕"/>
        <family val="3"/>
        <charset val="129"/>
      </rPr>
      <t>실적기성</t>
    </r>
    <r>
      <rPr>
        <sz val="9"/>
        <color theme="1"/>
        <rFont val="Calibri"/>
        <family val="2"/>
      </rPr>
      <t xml:space="preserve"> </t>
    </r>
    <r>
      <rPr>
        <sz val="9"/>
        <color theme="1"/>
        <rFont val="맑은 고딕"/>
        <family val="3"/>
        <charset val="129"/>
      </rPr>
      <t>누적</t>
    </r>
    <r>
      <rPr>
        <sz val="9"/>
        <color theme="1"/>
        <rFont val="Calibri"/>
        <family val="2"/>
      </rPr>
      <t>(Man-Day)</t>
    </r>
    <phoneticPr fontId="11" type="noConversion"/>
  </si>
  <si>
    <t>Earned value on planned schedule</t>
    <phoneticPr fontId="11" type="noConversion"/>
  </si>
  <si>
    <r>
      <rPr>
        <sz val="9"/>
        <color theme="1"/>
        <rFont val="맑은 고딕"/>
        <family val="3"/>
        <charset val="129"/>
      </rPr>
      <t>실적기성</t>
    </r>
    <phoneticPr fontId="11" type="noConversion"/>
  </si>
  <si>
    <t>Earned value on planned schedule when managing schedule changes(Total Duration x %Work Complete)</t>
    <phoneticPr fontId="11" type="noConversion"/>
  </si>
  <si>
    <r>
      <rPr>
        <sz val="9"/>
        <color theme="1"/>
        <rFont val="맑은 고딕"/>
        <family val="3"/>
        <charset val="129"/>
      </rPr>
      <t>일정변경관리</t>
    </r>
    <r>
      <rPr>
        <sz val="9"/>
        <color theme="1"/>
        <rFont val="Calibri"/>
        <family val="2"/>
      </rPr>
      <t xml:space="preserve"> </t>
    </r>
    <r>
      <rPr>
        <sz val="9"/>
        <color theme="1"/>
        <rFont val="맑은 고딕"/>
        <family val="3"/>
        <charset val="129"/>
      </rPr>
      <t>할때</t>
    </r>
    <r>
      <rPr>
        <sz val="9"/>
        <color theme="1"/>
        <rFont val="Calibri"/>
        <family val="2"/>
      </rPr>
      <t xml:space="preserve"> </t>
    </r>
    <r>
      <rPr>
        <sz val="9"/>
        <color theme="1"/>
        <rFont val="맑은 고딕"/>
        <family val="3"/>
        <charset val="129"/>
      </rPr>
      <t>실적기성</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phoneticPr fontId="11" type="noConversion"/>
  </si>
  <si>
    <t>Earned value on planned schedule(Total Duration x %Work Complete)</t>
    <phoneticPr fontId="11" type="noConversion"/>
  </si>
  <si>
    <r>
      <rPr>
        <sz val="9"/>
        <color theme="1"/>
        <rFont val="맑은 고딕"/>
        <family val="3"/>
        <charset val="129"/>
      </rPr>
      <t>실적기성</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phoneticPr fontId="11" type="noConversion"/>
  </si>
  <si>
    <t>Earned Value Progress</t>
    <phoneticPr fontId="11" type="noConversion"/>
  </si>
  <si>
    <r>
      <rPr>
        <sz val="9"/>
        <color theme="1"/>
        <rFont val="맑은 고딕"/>
        <family val="3"/>
        <charset val="129"/>
      </rPr>
      <t>실적기성</t>
    </r>
    <r>
      <rPr>
        <sz val="9"/>
        <color theme="1"/>
        <rFont val="Calibri"/>
        <family val="2"/>
      </rPr>
      <t xml:space="preserve"> </t>
    </r>
    <r>
      <rPr>
        <sz val="9"/>
        <color theme="1"/>
        <rFont val="맑은 고딕"/>
        <family val="3"/>
        <charset val="129"/>
      </rPr>
      <t>진척율</t>
    </r>
    <phoneticPr fontId="11" type="noConversion"/>
  </si>
  <si>
    <t>Earned Value(C)\nMan-day</t>
    <phoneticPr fontId="11" type="noConversion"/>
  </si>
  <si>
    <r>
      <rPr>
        <sz val="9"/>
        <color theme="1"/>
        <rFont val="맑은 고딕"/>
        <family val="3"/>
        <charset val="129"/>
      </rPr>
      <t>실적기성</t>
    </r>
    <r>
      <rPr>
        <sz val="9"/>
        <color theme="1"/>
        <rFont val="Calibri"/>
        <family val="2"/>
      </rPr>
      <t>( C )\nMan-day</t>
    </r>
    <phoneticPr fontId="11" type="noConversion"/>
  </si>
  <si>
    <t>Earned Value(Man-Day)</t>
    <phoneticPr fontId="11" type="noConversion"/>
  </si>
  <si>
    <r>
      <rPr>
        <sz val="9"/>
        <color theme="1"/>
        <rFont val="맑은 고딕"/>
        <family val="3"/>
        <charset val="129"/>
      </rPr>
      <t>실적기성</t>
    </r>
    <r>
      <rPr>
        <sz val="9"/>
        <color theme="1"/>
        <rFont val="Calibri"/>
        <family val="2"/>
      </rPr>
      <t>(Man-Day)</t>
    </r>
    <phoneticPr fontId="11" type="noConversion"/>
  </si>
  <si>
    <t>Edit a Task</t>
  </si>
  <si>
    <r>
      <rPr>
        <sz val="9"/>
        <color theme="1"/>
        <rFont val="맑은 고딕"/>
        <family val="3"/>
        <charset val="129"/>
      </rPr>
      <t>작업</t>
    </r>
    <r>
      <rPr>
        <sz val="9"/>
        <color theme="1"/>
        <rFont val="Calibri"/>
        <family val="2"/>
      </rPr>
      <t xml:space="preserve"> </t>
    </r>
    <r>
      <rPr>
        <sz val="9"/>
        <color theme="1"/>
        <rFont val="맑은 고딕"/>
        <family val="3"/>
        <charset val="129"/>
      </rPr>
      <t>정보</t>
    </r>
  </si>
  <si>
    <t>Elsa,John[50%]</t>
    <phoneticPr fontId="11" type="noConversion"/>
  </si>
  <si>
    <r>
      <rPr>
        <sz val="9"/>
        <color theme="1"/>
        <rFont val="맑은 고딕"/>
        <family val="3"/>
        <charset val="129"/>
      </rPr>
      <t>홍길동</t>
    </r>
    <r>
      <rPr>
        <sz val="9"/>
        <color theme="1"/>
        <rFont val="Calibri"/>
        <family val="2"/>
      </rPr>
      <t>,</t>
    </r>
    <r>
      <rPr>
        <sz val="9"/>
        <color theme="1"/>
        <rFont val="맑은 고딕"/>
        <family val="3"/>
        <charset val="129"/>
      </rPr>
      <t>김길동</t>
    </r>
    <r>
      <rPr>
        <sz val="9"/>
        <color theme="1"/>
        <rFont val="Calibri"/>
        <family val="2"/>
      </rPr>
      <t>[50%]</t>
    </r>
    <phoneticPr fontId="11" type="noConversion"/>
  </si>
  <si>
    <t>Enabled Languages</t>
  </si>
  <si>
    <r>
      <rPr>
        <sz val="9"/>
        <color theme="1"/>
        <rFont val="맑은 고딕"/>
        <family val="3"/>
        <charset val="129"/>
      </rPr>
      <t>사용할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언어</t>
    </r>
  </si>
  <si>
    <t>Equals</t>
  </si>
  <si>
    <r>
      <rPr>
        <sz val="9"/>
        <color theme="1"/>
        <rFont val="맑은 고딕"/>
        <family val="3"/>
        <charset val="129"/>
      </rPr>
      <t>같음</t>
    </r>
  </si>
  <si>
    <t>Error! Calculated Total Man-Day is different from the Total Man-Day of the {} sheet.</t>
  </si>
  <si>
    <r>
      <rPr>
        <sz val="9"/>
        <color theme="1"/>
        <rFont val="맑은 고딕"/>
        <family val="3"/>
        <charset val="129"/>
      </rPr>
      <t>오류</t>
    </r>
    <r>
      <rPr>
        <sz val="9"/>
        <color theme="1"/>
        <rFont val="Calibri"/>
        <family val="2"/>
      </rPr>
      <t xml:space="preserve">! </t>
    </r>
    <r>
      <rPr>
        <sz val="9"/>
        <color theme="1"/>
        <rFont val="맑은 고딕"/>
        <family val="3"/>
        <charset val="129"/>
      </rPr>
      <t>계산된</t>
    </r>
    <r>
      <rPr>
        <sz val="9"/>
        <color theme="1"/>
        <rFont val="Calibri"/>
        <family val="2"/>
      </rPr>
      <t xml:space="preserve"> Total Man-Day</t>
    </r>
    <r>
      <rPr>
        <sz val="9"/>
        <color theme="1"/>
        <rFont val="맑은 고딕"/>
        <family val="3"/>
        <charset val="129"/>
      </rPr>
      <t>가</t>
    </r>
    <r>
      <rPr>
        <sz val="9"/>
        <color theme="1"/>
        <rFont val="Calibri"/>
        <family val="2"/>
      </rPr>
      <t xml:space="preserve"> {} sheet</t>
    </r>
    <r>
      <rPr>
        <sz val="9"/>
        <color theme="1"/>
        <rFont val="맑은 고딕"/>
        <family val="3"/>
        <charset val="129"/>
      </rPr>
      <t>의</t>
    </r>
    <r>
      <rPr>
        <sz val="9"/>
        <color theme="1"/>
        <rFont val="Calibri"/>
        <family val="2"/>
      </rPr>
      <t xml:space="preserve"> Total Man-Day</t>
    </r>
    <r>
      <rPr>
        <sz val="9"/>
        <color theme="1"/>
        <rFont val="맑은 고딕"/>
        <family val="3"/>
        <charset val="129"/>
      </rPr>
      <t>와</t>
    </r>
    <r>
      <rPr>
        <sz val="9"/>
        <color theme="1"/>
        <rFont val="Calibri"/>
        <family val="2"/>
      </rPr>
      <t xml:space="preserve"> </t>
    </r>
    <r>
      <rPr>
        <sz val="9"/>
        <color theme="1"/>
        <rFont val="맑은 고딕"/>
        <family val="3"/>
        <charset val="129"/>
      </rPr>
      <t>다릅니다</t>
    </r>
    <r>
      <rPr>
        <sz val="9"/>
        <color theme="1"/>
        <rFont val="Calibri"/>
        <family val="2"/>
      </rPr>
      <t>.</t>
    </r>
  </si>
  <si>
    <t>Error! Cause may be one of the following.\n * File is invalid(e.g. the XLGantt file corrupted)\n * Not XLGantt file but General Excel file\n\n Please check the messages below for details.</t>
  </si>
  <si>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 - </t>
    </r>
    <r>
      <rPr>
        <sz val="9"/>
        <color theme="1"/>
        <rFont val="맑은 고딕"/>
        <family val="3"/>
        <charset val="129"/>
      </rPr>
      <t>파일이</t>
    </r>
    <r>
      <rPr>
        <sz val="9"/>
        <color theme="1"/>
        <rFont val="Calibri"/>
        <family val="2"/>
      </rPr>
      <t xml:space="preserve"> </t>
    </r>
    <r>
      <rPr>
        <sz val="9"/>
        <color theme="1"/>
        <rFont val="맑은 고딕"/>
        <family val="3"/>
        <charset val="129"/>
      </rPr>
      <t>비정상적인</t>
    </r>
    <r>
      <rPr>
        <sz val="9"/>
        <color theme="1"/>
        <rFont val="Calibri"/>
        <family val="2"/>
      </rPr>
      <t xml:space="preserve"> </t>
    </r>
    <r>
      <rPr>
        <sz val="9"/>
        <color theme="1"/>
        <rFont val="맑은 고딕"/>
        <family val="3"/>
        <charset val="129"/>
      </rPr>
      <t>경우</t>
    </r>
    <r>
      <rPr>
        <sz val="9"/>
        <color theme="1"/>
        <rFont val="Calibri"/>
        <family val="2"/>
      </rPr>
      <t>(XLGantt</t>
    </r>
    <r>
      <rPr>
        <sz val="9"/>
        <color theme="1"/>
        <rFont val="맑은 고딕"/>
        <family val="3"/>
        <charset val="129"/>
      </rPr>
      <t>파일이</t>
    </r>
    <r>
      <rPr>
        <sz val="9"/>
        <color theme="1"/>
        <rFont val="Calibri"/>
        <family val="2"/>
      </rPr>
      <t xml:space="preserve"> </t>
    </r>
    <r>
      <rPr>
        <sz val="9"/>
        <color theme="1"/>
        <rFont val="맑은 고딕"/>
        <family val="3"/>
        <charset val="129"/>
      </rPr>
      <t>손상된</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등</t>
    </r>
    <r>
      <rPr>
        <sz val="9"/>
        <color theme="1"/>
        <rFont val="Calibri"/>
        <family val="2"/>
      </rPr>
      <t xml:space="preserve">)\n - XLGantt </t>
    </r>
    <r>
      <rPr>
        <sz val="9"/>
        <color theme="1"/>
        <rFont val="맑은 고딕"/>
        <family val="3"/>
        <charset val="129"/>
      </rPr>
      <t>파일이</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일반</t>
    </r>
    <r>
      <rPr>
        <sz val="9"/>
        <color theme="1"/>
        <rFont val="Calibri"/>
        <family val="2"/>
      </rPr>
      <t xml:space="preserve"> </t>
    </r>
    <r>
      <rPr>
        <sz val="9"/>
        <color theme="1"/>
        <rFont val="맑은 고딕"/>
        <family val="3"/>
        <charset val="129"/>
      </rPr>
      <t>엑셀파일인</t>
    </r>
    <r>
      <rPr>
        <sz val="9"/>
        <color theme="1"/>
        <rFont val="Calibri"/>
        <family val="2"/>
      </rPr>
      <t xml:space="preserve"> </t>
    </r>
    <r>
      <rPr>
        <sz val="9"/>
        <color theme="1"/>
        <rFont val="맑은 고딕"/>
        <family val="3"/>
        <charset val="129"/>
      </rPr>
      <t>경우</t>
    </r>
    <r>
      <rPr>
        <sz val="9"/>
        <color theme="1"/>
        <rFont val="Calibri"/>
        <family val="2"/>
      </rPr>
      <t xml:space="preserve">\n\n </t>
    </r>
    <r>
      <rPr>
        <sz val="9"/>
        <color theme="1"/>
        <rFont val="맑은 고딕"/>
        <family val="3"/>
        <charset val="129"/>
      </rPr>
      <t>자세한</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확인하시기</t>
    </r>
    <r>
      <rPr>
        <sz val="9"/>
        <color theme="1"/>
        <rFont val="Calibri"/>
        <family val="2"/>
      </rPr>
      <t xml:space="preserve"> </t>
    </r>
    <r>
      <rPr>
        <sz val="9"/>
        <color theme="1"/>
        <rFont val="맑은 고딕"/>
        <family val="3"/>
        <charset val="129"/>
      </rPr>
      <t>바랍니다</t>
    </r>
    <r>
      <rPr>
        <sz val="9"/>
        <color theme="1"/>
        <rFont val="Calibri"/>
        <family val="2"/>
      </rPr>
      <t>.</t>
    </r>
  </si>
  <si>
    <t>Error, Invalid field specified.</t>
  </si>
  <si>
    <r>
      <rPr>
        <sz val="9"/>
        <color theme="1"/>
        <rFont val="맑은 고딕"/>
        <family val="3"/>
        <charset val="129"/>
      </rPr>
      <t>오류</t>
    </r>
    <r>
      <rPr>
        <sz val="9"/>
        <color theme="1"/>
        <rFont val="Calibri"/>
        <family val="2"/>
      </rPr>
      <t xml:space="preserve">, </t>
    </r>
    <r>
      <rPr>
        <sz val="9"/>
        <color theme="1"/>
        <rFont val="맑은 고딕"/>
        <family val="3"/>
        <charset val="129"/>
      </rPr>
      <t>지정할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없는</t>
    </r>
    <r>
      <rPr>
        <sz val="9"/>
        <color theme="1"/>
        <rFont val="Calibri"/>
        <family val="2"/>
      </rPr>
      <t xml:space="preserve"> </t>
    </r>
    <r>
      <rPr>
        <sz val="9"/>
        <color theme="1"/>
        <rFont val="맑은 고딕"/>
        <family val="3"/>
        <charset val="129"/>
      </rPr>
      <t>필드가</t>
    </r>
    <r>
      <rPr>
        <sz val="9"/>
        <color theme="1"/>
        <rFont val="Calibri"/>
        <family val="2"/>
      </rPr>
      <t xml:space="preserve"> </t>
    </r>
    <r>
      <rPr>
        <sz val="9"/>
        <color theme="1"/>
        <rFont val="맑은 고딕"/>
        <family val="3"/>
        <charset val="129"/>
      </rPr>
      <t>있습니다</t>
    </r>
  </si>
  <si>
    <t>Etc</t>
  </si>
  <si>
    <r>
      <rPr>
        <sz val="9"/>
        <color theme="1"/>
        <rFont val="맑은 고딕"/>
        <family val="3"/>
        <charset val="129"/>
      </rPr>
      <t>기타</t>
    </r>
    <phoneticPr fontId="11" type="noConversion"/>
  </si>
  <si>
    <t>Excel</t>
  </si>
  <si>
    <r>
      <rPr>
        <sz val="9"/>
        <color theme="1"/>
        <rFont val="맑은 고딕"/>
        <family val="3"/>
        <charset val="129"/>
      </rPr>
      <t>엑셀</t>
    </r>
  </si>
  <si>
    <t>Execution path of Program</t>
  </si>
  <si>
    <r>
      <rPr>
        <sz val="9"/>
        <color theme="1"/>
        <rFont val="맑은 고딕"/>
        <family val="3"/>
        <charset val="129"/>
      </rPr>
      <t>프로그램</t>
    </r>
    <r>
      <rPr>
        <sz val="9"/>
        <color theme="1"/>
        <rFont val="Calibri"/>
        <family val="2"/>
      </rPr>
      <t xml:space="preserve"> </t>
    </r>
    <r>
      <rPr>
        <sz val="9"/>
        <color theme="1"/>
        <rFont val="맑은 고딕"/>
        <family val="3"/>
        <charset val="129"/>
      </rPr>
      <t>실행경로</t>
    </r>
  </si>
  <si>
    <t>Extension</t>
  </si>
  <si>
    <r>
      <rPr>
        <sz val="9"/>
        <color theme="1"/>
        <rFont val="맑은 고딕"/>
        <family val="3"/>
        <charset val="129"/>
      </rPr>
      <t>확장자명</t>
    </r>
  </si>
  <si>
    <t>Filter</t>
  </si>
  <si>
    <r>
      <rPr>
        <sz val="9"/>
        <color theme="1"/>
        <rFont val="맑은 고딕"/>
        <family val="3"/>
        <charset val="129"/>
      </rPr>
      <t>필터</t>
    </r>
    <r>
      <rPr>
        <sz val="9"/>
        <color theme="1"/>
        <rFont val="Calibri"/>
        <family val="2"/>
      </rPr>
      <t xml:space="preserve"> </t>
    </r>
    <r>
      <rPr>
        <sz val="9"/>
        <color theme="1"/>
        <rFont val="맑은 고딕"/>
        <family val="3"/>
        <charset val="129"/>
      </rPr>
      <t>적용</t>
    </r>
  </si>
  <si>
    <t>Filter Task</t>
  </si>
  <si>
    <r>
      <rPr>
        <sz val="9"/>
        <color theme="1"/>
        <rFont val="맑은 고딕"/>
        <family val="3"/>
        <charset val="129"/>
      </rPr>
      <t>작업</t>
    </r>
    <r>
      <rPr>
        <sz val="9"/>
        <color theme="1"/>
        <rFont val="Calibri"/>
        <family val="2"/>
      </rPr>
      <t xml:space="preserve"> </t>
    </r>
    <r>
      <rPr>
        <sz val="9"/>
        <color theme="1"/>
        <rFont val="맑은 고딕"/>
        <family val="3"/>
        <charset val="129"/>
      </rPr>
      <t>필터</t>
    </r>
  </si>
  <si>
    <t>Finish</t>
  </si>
  <si>
    <r>
      <rPr>
        <sz val="9"/>
        <color theme="1"/>
        <rFont val="맑은 고딕"/>
        <family val="3"/>
        <charset val="129"/>
      </rPr>
      <t>완료일</t>
    </r>
  </si>
  <si>
    <t>Finish Date</t>
  </si>
  <si>
    <r>
      <rPr>
        <sz val="9"/>
        <color theme="1"/>
        <rFont val="맑은 고딕"/>
        <family val="3"/>
        <charset val="129"/>
      </rPr>
      <t>완료일자</t>
    </r>
  </si>
  <si>
    <t>Finish date field of a task. It must be in date format.</t>
  </si>
  <si>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완료일</t>
    </r>
    <r>
      <rPr>
        <sz val="9"/>
        <color theme="1"/>
        <rFont val="Calibri"/>
        <family val="2"/>
      </rPr>
      <t>(</t>
    </r>
    <r>
      <rPr>
        <sz val="9"/>
        <color theme="1"/>
        <rFont val="맑은 고딕"/>
        <family val="3"/>
        <charset val="129"/>
      </rPr>
      <t>또는</t>
    </r>
    <r>
      <rPr>
        <sz val="9"/>
        <color theme="1"/>
        <rFont val="Calibri"/>
        <family val="2"/>
      </rPr>
      <t xml:space="preserve"> </t>
    </r>
    <r>
      <rPr>
        <sz val="9"/>
        <color theme="1"/>
        <rFont val="맑은 고딕"/>
        <family val="3"/>
        <charset val="129"/>
      </rPr>
      <t>종료일</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</si>
  <si>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t>Finish date is invalid.</t>
  </si>
  <si>
    <r>
      <rPr>
        <sz val="9"/>
        <color theme="1"/>
        <rFont val="맑은 고딕"/>
        <family val="3"/>
        <charset val="129"/>
      </rPr>
      <t>작업완료일의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</si>
  <si>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t>Finish date is invalid. Verify row {} of the source file.</t>
  </si>
  <si>
    <r>
      <rPr>
        <sz val="9"/>
        <color theme="1"/>
        <rFont val="맑은 고딕"/>
        <family val="3"/>
        <charset val="129"/>
      </rPr>
      <t>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</si>
  <si>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t>First day of week</t>
  </si>
  <si>
    <r>
      <rPr>
        <sz val="9"/>
        <color theme="1"/>
        <rFont val="맑은 고딕"/>
        <family val="3"/>
        <charset val="129"/>
      </rPr>
      <t>한주의</t>
    </r>
    <r>
      <rPr>
        <sz val="9"/>
        <color theme="1"/>
        <rFont val="Calibri"/>
        <family val="2"/>
      </rPr>
      <t xml:space="preserve"> </t>
    </r>
    <r>
      <rPr>
        <sz val="9"/>
        <color theme="1"/>
        <rFont val="맑은 고딕"/>
        <family val="3"/>
        <charset val="129"/>
      </rPr>
      <t>시작요일</t>
    </r>
  </si>
  <si>
    <t>Follow the language setting of your computer O/S</t>
  </si>
  <si>
    <r>
      <rPr>
        <sz val="9"/>
        <color theme="1"/>
        <rFont val="맑은 고딕"/>
        <family val="3"/>
        <charset val="129"/>
      </rPr>
      <t>컴퓨터</t>
    </r>
    <r>
      <rPr>
        <sz val="9"/>
        <color theme="1"/>
        <rFont val="Calibri"/>
        <family val="2"/>
      </rPr>
      <t xml:space="preserve"> O/S</t>
    </r>
    <r>
      <rPr>
        <sz val="9"/>
        <color theme="1"/>
        <rFont val="맑은 고딕"/>
        <family val="3"/>
        <charset val="129"/>
      </rPr>
      <t>의</t>
    </r>
    <r>
      <rPr>
        <sz val="9"/>
        <color theme="1"/>
        <rFont val="Calibri"/>
        <family val="2"/>
      </rPr>
      <t xml:space="preserve"> </t>
    </r>
    <r>
      <rPr>
        <sz val="9"/>
        <color theme="1"/>
        <rFont val="맑은 고딕"/>
        <family val="3"/>
        <charset val="129"/>
      </rPr>
      <t>언어설정을</t>
    </r>
    <r>
      <rPr>
        <sz val="9"/>
        <color theme="1"/>
        <rFont val="Calibri"/>
        <family val="2"/>
      </rPr>
      <t xml:space="preserve"> </t>
    </r>
    <r>
      <rPr>
        <sz val="9"/>
        <color theme="1"/>
        <rFont val="맑은 고딕"/>
        <family val="3"/>
        <charset val="129"/>
      </rPr>
      <t>따름</t>
    </r>
  </si>
  <si>
    <t>Fri</t>
  </si>
  <si>
    <r>
      <rPr>
        <sz val="9"/>
        <color theme="1"/>
        <rFont val="맑은 고딕"/>
        <family val="3"/>
        <charset val="129"/>
      </rPr>
      <t>금</t>
    </r>
  </si>
  <si>
    <t>From (File to import )</t>
  </si>
  <si>
    <r>
      <t>Source</t>
    </r>
    <r>
      <rPr>
        <sz val="9"/>
        <color theme="1"/>
        <rFont val="맑은 고딕"/>
        <family val="3"/>
        <charset val="129"/>
      </rPr>
      <t>파일</t>
    </r>
    <r>
      <rPr>
        <sz val="9"/>
        <color theme="1"/>
        <rFont val="Calibri"/>
        <family val="2"/>
      </rPr>
      <t>(</t>
    </r>
    <r>
      <rPr>
        <sz val="9"/>
        <color theme="1"/>
        <rFont val="맑은 고딕"/>
        <family val="3"/>
        <charset val="129"/>
      </rPr>
      <t>가져올</t>
    </r>
    <r>
      <rPr>
        <sz val="9"/>
        <color theme="1"/>
        <rFont val="Calibri"/>
        <family val="2"/>
      </rPr>
      <t xml:space="preserve"> </t>
    </r>
    <r>
      <rPr>
        <sz val="9"/>
        <color theme="1"/>
        <rFont val="맑은 고딕"/>
        <family val="3"/>
        <charset val="129"/>
      </rPr>
      <t>파일</t>
    </r>
    <r>
      <rPr>
        <sz val="9"/>
        <color theme="1"/>
        <rFont val="Calibri"/>
        <family val="2"/>
      </rPr>
      <t xml:space="preserve"> )</t>
    </r>
  </si>
  <si>
    <t>From Date is invalid.</t>
  </si>
  <si>
    <r>
      <rPr>
        <sz val="9"/>
        <color theme="1"/>
        <rFont val="맑은 고딕"/>
        <family val="3"/>
        <charset val="129"/>
      </rPr>
      <t>시작날짜</t>
    </r>
    <r>
      <rPr>
        <sz val="9"/>
        <color theme="1"/>
        <rFont val="Calibri"/>
        <family val="2"/>
      </rPr>
      <t xml:space="preserve"> </t>
    </r>
    <r>
      <rPr>
        <sz val="9"/>
        <color theme="1"/>
        <rFont val="맑은 고딕"/>
        <family val="3"/>
        <charset val="129"/>
      </rPr>
      <t>형식이</t>
    </r>
    <r>
      <rPr>
        <sz val="9"/>
        <color theme="1"/>
        <rFont val="Calibri"/>
        <family val="2"/>
      </rPr>
      <t xml:space="preserve"> </t>
    </r>
    <r>
      <rPr>
        <sz val="9"/>
        <color theme="1"/>
        <rFont val="맑은 고딕"/>
        <family val="3"/>
        <charset val="129"/>
      </rPr>
      <t>잘못되었습니다</t>
    </r>
    <r>
      <rPr>
        <sz val="9"/>
        <color theme="1"/>
        <rFont val="Calibri"/>
        <family val="2"/>
      </rPr>
      <t>.</t>
    </r>
  </si>
  <si>
    <t>Gantt Chart Display</t>
  </si>
  <si>
    <r>
      <t>Gantt chart</t>
    </r>
    <r>
      <rPr>
        <sz val="9"/>
        <color theme="1"/>
        <rFont val="맑은 고딕"/>
        <family val="3"/>
        <charset val="129"/>
      </rPr>
      <t>표시</t>
    </r>
    <r>
      <rPr>
        <sz val="9"/>
        <color theme="1"/>
        <rFont val="Calibri"/>
        <family val="2"/>
      </rPr>
      <t xml:space="preserve"> </t>
    </r>
    <r>
      <rPr>
        <sz val="9"/>
        <color theme="1"/>
        <rFont val="맑은 고딕"/>
        <family val="3"/>
        <charset val="129"/>
      </rPr>
      <t>방법</t>
    </r>
  </si>
  <si>
    <t>Gantt chart group task bar</t>
    <phoneticPr fontId="1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</si>
  <si>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그룹작업</t>
    </r>
    <r>
      <rPr>
        <sz val="9"/>
        <color theme="1"/>
        <rFont val="Calibri"/>
        <family val="2"/>
      </rPr>
      <t>Bar</t>
    </r>
    <phoneticPr fontId="11" type="noConversion"/>
  </si>
  <si>
    <t>Gantt chart progress line</t>
    <phoneticPr fontId="1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</si>
  <si>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진척율선</t>
    </r>
    <phoneticPr fontId="11" type="noConversion"/>
  </si>
  <si>
    <t>Gantt chart sub task bar</t>
    <phoneticPr fontId="1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</si>
  <si>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하위작업</t>
    </r>
    <r>
      <rPr>
        <sz val="9"/>
        <color theme="1"/>
        <rFont val="Calibri"/>
        <family val="2"/>
      </rPr>
      <t>Bar</t>
    </r>
    <phoneticPr fontId="11" type="noConversion"/>
  </si>
  <si>
    <t>Gantt chart title</t>
    <phoneticPr fontId="1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</si>
  <si>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타이틀</t>
    </r>
    <phoneticPr fontId="11" type="noConversion"/>
  </si>
  <si>
    <t>Gantt Chart View Style</t>
  </si>
  <si>
    <r>
      <t xml:space="preserve">Gantt Chart </t>
    </r>
    <r>
      <rPr>
        <sz val="9"/>
        <color theme="1"/>
        <rFont val="맑은 고딕"/>
        <family val="3"/>
        <charset val="129"/>
      </rPr>
      <t>보기</t>
    </r>
    <r>
      <rPr>
        <sz val="9"/>
        <color theme="1"/>
        <rFont val="Calibri"/>
        <family val="2"/>
      </rPr>
      <t xml:space="preserve"> </t>
    </r>
    <r>
      <rPr>
        <sz val="9"/>
        <color theme="1"/>
        <rFont val="맑은 고딕"/>
        <family val="3"/>
        <charset val="129"/>
      </rPr>
      <t>형식</t>
    </r>
  </si>
  <si>
    <t>Gantt Chart Zoom Ratio(Max 999%)</t>
    <phoneticPr fontId="11" type="noConversion"/>
  </si>
  <si>
    <r>
      <t xml:space="preserve">Gantt Chart </t>
    </r>
    <r>
      <rPr>
        <sz val="9"/>
        <color theme="1"/>
        <rFont val="맑은 고딕"/>
        <family val="3"/>
        <charset val="129"/>
      </rPr>
      <t>축소</t>
    </r>
    <r>
      <rPr>
        <sz val="9"/>
        <color theme="1"/>
        <rFont val="Calibri"/>
        <family val="2"/>
      </rPr>
      <t>/</t>
    </r>
    <r>
      <rPr>
        <sz val="9"/>
        <color theme="1"/>
        <rFont val="맑은 고딕"/>
        <family val="3"/>
        <charset val="129"/>
      </rPr>
      <t>확대</t>
    </r>
    <r>
      <rPr>
        <sz val="9"/>
        <color theme="1"/>
        <rFont val="Calibri"/>
        <family val="2"/>
      </rPr>
      <t xml:space="preserve"> </t>
    </r>
    <r>
      <rPr>
        <sz val="9"/>
        <color theme="1"/>
        <rFont val="맑은 고딕"/>
        <family val="3"/>
        <charset val="129"/>
      </rPr>
      <t>비율</t>
    </r>
    <r>
      <rPr>
        <sz val="9"/>
        <color theme="1"/>
        <rFont val="Calibri"/>
        <family val="2"/>
      </rPr>
      <t>(</t>
    </r>
    <r>
      <rPr>
        <sz val="9"/>
        <color theme="1"/>
        <rFont val="맑은 고딕"/>
        <family val="3"/>
        <charset val="129"/>
      </rPr>
      <t>최대</t>
    </r>
    <r>
      <rPr>
        <sz val="9"/>
        <color theme="1"/>
        <rFont val="Calibri"/>
        <family val="2"/>
      </rPr>
      <t xml:space="preserve"> 999%)</t>
    </r>
    <phoneticPr fontId="11" type="noConversion"/>
  </si>
  <si>
    <t>General</t>
  </si>
  <si>
    <r>
      <rPr>
        <sz val="9"/>
        <color theme="1"/>
        <rFont val="맑은 고딕"/>
        <family val="3"/>
        <charset val="129"/>
      </rPr>
      <t>일반</t>
    </r>
    <phoneticPr fontId="11" type="noConversion"/>
  </si>
  <si>
    <t>Getting Started With XLGantt</t>
    <phoneticPr fontId="11" type="noConversion"/>
  </si>
  <si>
    <r>
      <rPr>
        <sz val="9"/>
        <color theme="1"/>
        <rFont val="맑은 고딕"/>
        <family val="3"/>
        <charset val="129"/>
      </rPr>
      <t>간단</t>
    </r>
    <r>
      <rPr>
        <sz val="9"/>
        <color theme="1"/>
        <rFont val="Calibri"/>
        <family val="2"/>
      </rPr>
      <t xml:space="preserve"> </t>
    </r>
    <r>
      <rPr>
        <sz val="9"/>
        <color theme="1"/>
        <rFont val="맑은 고딕"/>
        <family val="3"/>
        <charset val="129"/>
      </rPr>
      <t>사용법</t>
    </r>
  </si>
  <si>
    <t>Green</t>
    <phoneticPr fontId="11" type="noConversion"/>
  </si>
  <si>
    <r>
      <rPr>
        <sz val="9"/>
        <color theme="1"/>
        <rFont val="맑은 고딕"/>
        <family val="3"/>
        <charset val="129"/>
      </rPr>
      <t>그린</t>
    </r>
    <phoneticPr fontId="11" type="noConversion"/>
  </si>
  <si>
    <t>Group rows</t>
    <phoneticPr fontId="1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</si>
  <si>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그룹으로</t>
    </r>
    <r>
      <rPr>
        <sz val="9"/>
        <color theme="1"/>
        <rFont val="Calibri"/>
        <family val="2"/>
      </rPr>
      <t xml:space="preserve"> </t>
    </r>
    <r>
      <rPr>
        <sz val="9"/>
        <color theme="1"/>
        <rFont val="맑은 고딕"/>
        <family val="3"/>
        <charset val="129"/>
      </rPr>
      <t>묶기</t>
    </r>
    <phoneticPr fontId="11" type="noConversion"/>
  </si>
  <si>
    <t>Group rows(Max 8 Levels)</t>
    <phoneticPr fontId="1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</si>
  <si>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그룹으로</t>
    </r>
    <r>
      <rPr>
        <sz val="9"/>
        <color theme="1"/>
        <rFont val="Calibri"/>
        <family val="2"/>
      </rPr>
      <t xml:space="preserve"> </t>
    </r>
    <r>
      <rPr>
        <sz val="9"/>
        <color theme="1"/>
        <rFont val="맑은 고딕"/>
        <family val="3"/>
        <charset val="129"/>
      </rPr>
      <t>묶기</t>
    </r>
    <r>
      <rPr>
        <sz val="9"/>
        <color theme="1"/>
        <rFont val="Calibri"/>
        <family val="2"/>
      </rPr>
      <t>(</t>
    </r>
    <r>
      <rPr>
        <sz val="9"/>
        <color theme="1"/>
        <rFont val="맑은 고딕"/>
        <family val="3"/>
        <charset val="129"/>
      </rPr>
      <t>최대</t>
    </r>
    <r>
      <rPr>
        <sz val="9"/>
        <color theme="1"/>
        <rFont val="Calibri"/>
        <family val="2"/>
      </rPr>
      <t xml:space="preserve"> 8 </t>
    </r>
    <r>
      <rPr>
        <sz val="9"/>
        <color theme="1"/>
        <rFont val="맑은 고딕"/>
        <family val="3"/>
        <charset val="129"/>
      </rPr>
      <t>레벨</t>
    </r>
    <r>
      <rPr>
        <sz val="9"/>
        <color theme="1"/>
        <rFont val="Calibri"/>
        <family val="2"/>
      </rPr>
      <t>)</t>
    </r>
    <phoneticPr fontId="11" type="noConversion"/>
  </si>
  <si>
    <t>Help</t>
    <phoneticPr fontId="11" type="noConversion"/>
  </si>
  <si>
    <r>
      <rPr>
        <sz val="9"/>
        <color theme="1"/>
        <rFont val="맑은 고딕"/>
        <family val="3"/>
        <charset val="129"/>
      </rPr>
      <t>도움말</t>
    </r>
    <phoneticPr fontId="11" type="noConversion"/>
  </si>
  <si>
    <t>Help and the latest version</t>
    <phoneticPr fontId="11" type="noConversion"/>
  </si>
  <si>
    <r>
      <rPr>
        <sz val="9"/>
        <color theme="1"/>
        <rFont val="맑은 고딕"/>
        <family val="3"/>
        <charset val="129"/>
      </rPr>
      <t>도움말</t>
    </r>
    <r>
      <rPr>
        <sz val="9"/>
        <color theme="1"/>
        <rFont val="Calibri"/>
        <family val="2"/>
      </rPr>
      <t xml:space="preserve">, </t>
    </r>
    <r>
      <rPr>
        <sz val="9"/>
        <color theme="1"/>
        <rFont val="맑은 고딕"/>
        <family val="3"/>
        <charset val="129"/>
      </rPr>
      <t>최신</t>
    </r>
    <r>
      <rPr>
        <sz val="9"/>
        <color theme="1"/>
        <rFont val="Calibri"/>
        <family val="2"/>
      </rPr>
      <t xml:space="preserve"> </t>
    </r>
    <r>
      <rPr>
        <sz val="9"/>
        <color theme="1"/>
        <rFont val="맑은 고딕"/>
        <family val="3"/>
        <charset val="129"/>
      </rPr>
      <t>버전</t>
    </r>
    <r>
      <rPr>
        <sz val="9"/>
        <color theme="1"/>
        <rFont val="Calibri"/>
        <family val="2"/>
      </rPr>
      <t xml:space="preserve"> </t>
    </r>
    <r>
      <rPr>
        <sz val="9"/>
        <color theme="1"/>
        <rFont val="맑은 고딕"/>
        <family val="3"/>
        <charset val="129"/>
      </rPr>
      <t>다운로드</t>
    </r>
    <phoneticPr fontId="11" type="noConversion"/>
  </si>
  <si>
    <t>How to use</t>
    <phoneticPr fontId="11" type="noConversion"/>
  </si>
  <si>
    <r>
      <rPr>
        <sz val="9"/>
        <color theme="1"/>
        <rFont val="맑은 고딕"/>
        <family val="3"/>
        <charset val="129"/>
      </rPr>
      <t>사용법</t>
    </r>
    <phoneticPr fontId="11" type="noConversion"/>
  </si>
  <si>
    <t>https://xlworks.io/</t>
    <phoneticPr fontId="11" type="noConversion"/>
  </si>
  <si>
    <t>https://xlworks.net/</t>
    <phoneticPr fontId="11" type="noConversion"/>
  </si>
  <si>
    <t>https://xlworks.io/xlgantt-project-scheduler/</t>
  </si>
  <si>
    <t>https://xlworks.net/xlgantt-project-scheduler/</t>
    <phoneticPr fontId="11" type="noConversion"/>
  </si>
  <si>
    <t>https://xlworks.io/xlgantt-howto-1-getting-started-with-xlgantt/</t>
  </si>
  <si>
    <t>https://xlworks.net/xlgantt-easy-tip/</t>
    <phoneticPr fontId="11" type="noConversion"/>
  </si>
  <si>
    <t>https://xlworks.io/xlgantt-howto-2-input-task-update-schedule/</t>
  </si>
  <si>
    <t>https://xlworks.net/xlgantt-howto-02-task/</t>
    <phoneticPr fontId="11" type="noConversion"/>
  </si>
  <si>
    <t>https://xlworks.io/xlgantt-howto-03-gantt-chart/</t>
  </si>
  <si>
    <t>https://xlworks.net/xlgantt-howto-03-gantt-chart/</t>
    <phoneticPr fontId="11" type="noConversion"/>
  </si>
  <si>
    <t>https://xlworks.io/xlgantt-howto-04-project-progress/</t>
  </si>
  <si>
    <t>https://xlworks.net/xlgantt-howto-04-project-progress/</t>
    <phoneticPr fontId="11" type="noConversion"/>
  </si>
  <si>
    <t>https://xlworks.io/xlgantt-howto-05-analysis-report/</t>
  </si>
  <si>
    <t>https://xlworks.net/xlgantt-howto-05-analysis-report/</t>
    <phoneticPr fontId="11" type="noConversion"/>
  </si>
  <si>
    <t>https://xlworks.io/xlgantt-howto-06-schedule-change-management/</t>
  </si>
  <si>
    <t>https://xlworks.net/xlgantt-howto-06-schedule-change-management/</t>
    <phoneticPr fontId="11" type="noConversion"/>
  </si>
  <si>
    <t>https://xlworks.io/xlgantt-howto-07-deliverables/</t>
  </si>
  <si>
    <t>https://xlworks.net/xlgantt-howto-07-deliverables/</t>
    <phoneticPr fontId="11" type="noConversion"/>
  </si>
  <si>
    <t>https://xlworks.io/xlgantt-howto-08-add-tasks-to-outlook/</t>
  </si>
  <si>
    <t>https://xlworks.net/xlgantt-howto-08-add-tasks-to-outlook/</t>
    <phoneticPr fontId="11" type="noConversion"/>
  </si>
  <si>
    <t>https://xlworks.io/xlgantt-howto-09-multilingual-support/</t>
  </si>
  <si>
    <t>https://xlworks.net/xlgantt-howto-09-multilingual-support/</t>
  </si>
  <si>
    <t>https://xlworks.io/xlgantt-howto-10-import-schedule/</t>
  </si>
  <si>
    <t>https://xlworks.net/xlgantt-howto-10-import-schedule/</t>
  </si>
  <si>
    <t>https://xlworks.io/xlgantt-howto-11-calendar/</t>
  </si>
  <si>
    <t>https://xlworks.net/xlgantt-howto-11-calendar/</t>
  </si>
  <si>
    <t>https://xlworks.io/xlgantt-howto-12-integration-with-excel/</t>
  </si>
  <si>
    <t>https://xlworks.net/xlgantt-howto-12-integration-with-excel/</t>
  </si>
  <si>
    <t>https://xlworks.io/xlgantt-howto-13-server-data/</t>
  </si>
  <si>
    <t>https://xlworks.net/xlgantt-howto-13-server-data/</t>
    <phoneticPr fontId="11" type="noConversion"/>
  </si>
  <si>
    <t>https://xlworks.io/xlgantt-howto-14-workloads/</t>
    <phoneticPr fontId="11" type="noConversion"/>
  </si>
  <si>
    <t>https://xlworks.net/xlgantt-howto-14-workloads/</t>
    <phoneticPr fontId="11" type="noConversion"/>
  </si>
  <si>
    <t>https://xlworks.io/xlgantt-howto-15-color-theme/</t>
    <phoneticPr fontId="11" type="noConversion"/>
  </si>
  <si>
    <t>https://xlworks.net/xlgantt-howto-15-color-theme/</t>
    <phoneticPr fontId="11" type="noConversion"/>
  </si>
  <si>
    <t>If the language in source file and the language in target file are different, you can not import.</t>
  </si>
  <si>
    <r>
      <rPr>
        <sz val="9"/>
        <color theme="1"/>
        <rFont val="맑은 고딕"/>
        <family val="3"/>
        <charset val="129"/>
      </rPr>
      <t>가져오는</t>
    </r>
    <r>
      <rPr>
        <sz val="9"/>
        <color theme="1"/>
        <rFont val="Calibri"/>
        <family val="2"/>
      </rPr>
      <t xml:space="preserve"> </t>
    </r>
    <r>
      <rPr>
        <sz val="9"/>
        <color theme="1"/>
        <rFont val="맑은 고딕"/>
        <family val="3"/>
        <charset val="129"/>
      </rPr>
      <t>파일</t>
    </r>
    <r>
      <rPr>
        <sz val="9"/>
        <color theme="1"/>
        <rFont val="Calibri"/>
        <family val="2"/>
      </rPr>
      <t>(</t>
    </r>
    <r>
      <rPr>
        <sz val="9"/>
        <color theme="1"/>
        <rFont val="맑은 고딕"/>
        <family val="3"/>
        <charset val="129"/>
      </rPr>
      <t>소스파일</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언어와</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파일</t>
    </r>
    <r>
      <rPr>
        <sz val="9"/>
        <color theme="1"/>
        <rFont val="Calibri"/>
        <family val="2"/>
      </rPr>
      <t>(</t>
    </r>
    <r>
      <rPr>
        <sz val="9"/>
        <color theme="1"/>
        <rFont val="맑은 고딕"/>
        <family val="3"/>
        <charset val="129"/>
      </rPr>
      <t>타겟파일</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언어가</t>
    </r>
    <r>
      <rPr>
        <sz val="9"/>
        <color theme="1"/>
        <rFont val="Calibri"/>
        <family val="2"/>
      </rPr>
      <t xml:space="preserve"> </t>
    </r>
    <r>
      <rPr>
        <sz val="9"/>
        <color theme="1"/>
        <rFont val="맑은 고딕"/>
        <family val="3"/>
        <charset val="129"/>
      </rPr>
      <t>다르면</t>
    </r>
    <r>
      <rPr>
        <sz val="9"/>
        <color theme="1"/>
        <rFont val="Calibri"/>
        <family val="2"/>
      </rPr>
      <t xml:space="preserve"> Import</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</si>
  <si>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t>If you choose "Assigning path by task name automatically" option, you need to set the upper path.</t>
  </si>
  <si>
    <r>
      <rPr>
        <sz val="9"/>
        <color theme="1"/>
        <rFont val="맑은 고딕"/>
        <family val="3"/>
        <charset val="129"/>
      </rPr>
      <t>작업명으로</t>
    </r>
    <r>
      <rPr>
        <sz val="9"/>
        <color theme="1"/>
        <rFont val="Calibri"/>
        <family val="2"/>
      </rPr>
      <t xml:space="preserve"> </t>
    </r>
    <r>
      <rPr>
        <sz val="9"/>
        <color theme="1"/>
        <rFont val="맑은 고딕"/>
        <family val="3"/>
        <charset val="129"/>
      </rPr>
      <t>하위</t>
    </r>
    <r>
      <rPr>
        <sz val="9"/>
        <color theme="1"/>
        <rFont val="Calibri"/>
        <family val="2"/>
      </rPr>
      <t xml:space="preserve"> </t>
    </r>
    <r>
      <rPr>
        <sz val="9"/>
        <color theme="1"/>
        <rFont val="맑은 고딕"/>
        <family val="3"/>
        <charset val="129"/>
      </rPr>
      <t>경로</t>
    </r>
    <r>
      <rPr>
        <sz val="9"/>
        <color theme="1"/>
        <rFont val="Calibri"/>
        <family val="2"/>
      </rPr>
      <t xml:space="preserve"> </t>
    </r>
    <r>
      <rPr>
        <sz val="9"/>
        <color theme="1"/>
        <rFont val="맑은 고딕"/>
        <family val="3"/>
        <charset val="129"/>
      </rPr>
      <t>자동지정을</t>
    </r>
    <r>
      <rPr>
        <sz val="9"/>
        <color theme="1"/>
        <rFont val="Calibri"/>
        <family val="2"/>
      </rPr>
      <t xml:space="preserve"> </t>
    </r>
    <r>
      <rPr>
        <sz val="9"/>
        <color theme="1"/>
        <rFont val="맑은 고딕"/>
        <family val="3"/>
        <charset val="129"/>
      </rPr>
      <t>선택한</t>
    </r>
    <r>
      <rPr>
        <sz val="9"/>
        <color theme="1"/>
        <rFont val="Calibri"/>
        <family val="2"/>
      </rPr>
      <t xml:space="preserve"> </t>
    </r>
    <r>
      <rPr>
        <sz val="9"/>
        <color theme="1"/>
        <rFont val="맑은 고딕"/>
        <family val="3"/>
        <charset val="129"/>
      </rPr>
      <t>경우에는</t>
    </r>
    <r>
      <rPr>
        <sz val="9"/>
        <color theme="1"/>
        <rFont val="Calibri"/>
        <family val="2"/>
      </rPr>
      <t xml:space="preserve"> </t>
    </r>
    <r>
      <rPr>
        <sz val="9"/>
        <color theme="1"/>
        <rFont val="맑은 고딕"/>
        <family val="3"/>
        <charset val="129"/>
      </rPr>
      <t>상위의</t>
    </r>
    <r>
      <rPr>
        <sz val="9"/>
        <color theme="1"/>
        <rFont val="Calibri"/>
        <family val="2"/>
      </rPr>
      <t xml:space="preserve"> </t>
    </r>
    <r>
      <rPr>
        <sz val="9"/>
        <color theme="1"/>
        <rFont val="맑은 고딕"/>
        <family val="3"/>
        <charset val="129"/>
      </rPr>
      <t>기본경로를</t>
    </r>
    <r>
      <rPr>
        <sz val="9"/>
        <color theme="1"/>
        <rFont val="Calibri"/>
        <family val="2"/>
      </rPr>
      <t xml:space="preserve"> </t>
    </r>
    <r>
      <rPr>
        <sz val="9"/>
        <color theme="1"/>
        <rFont val="맑은 고딕"/>
        <family val="3"/>
        <charset val="129"/>
      </rPr>
      <t>설정해야</t>
    </r>
    <r>
      <rPr>
        <sz val="9"/>
        <color theme="1"/>
        <rFont val="Calibri"/>
        <family val="2"/>
      </rPr>
      <t xml:space="preserve"> </t>
    </r>
    <r>
      <rPr>
        <sz val="9"/>
        <color theme="1"/>
        <rFont val="맑은 고딕"/>
        <family val="3"/>
        <charset val="129"/>
      </rPr>
      <t>합니다</t>
    </r>
    <r>
      <rPr>
        <sz val="9"/>
        <color theme="1"/>
        <rFont val="Calibri"/>
        <family val="2"/>
      </rPr>
      <t>.</t>
    </r>
  </si>
  <si>
    <t>If you do not enter the actual finish date of row number {1} in the {2} sheet, you can't enter "%Work Complete" as 100%.</t>
  </si>
  <si>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실제시작일만</t>
    </r>
    <r>
      <rPr>
        <sz val="9"/>
        <color theme="1"/>
        <rFont val="Calibri"/>
        <family val="2"/>
      </rPr>
      <t xml:space="preserve"> </t>
    </r>
    <r>
      <rPr>
        <sz val="9"/>
        <color theme="1"/>
        <rFont val="맑은 고딕"/>
        <family val="3"/>
        <charset val="129"/>
      </rPr>
      <t>입력하고</t>
    </r>
    <r>
      <rPr>
        <sz val="9"/>
        <color theme="1"/>
        <rFont val="Calibri"/>
        <family val="2"/>
      </rPr>
      <t xml:space="preserve"> </t>
    </r>
    <r>
      <rPr>
        <sz val="9"/>
        <color theme="1"/>
        <rFont val="맑은 고딕"/>
        <family val="3"/>
        <charset val="129"/>
      </rPr>
      <t>실제완료일을</t>
    </r>
    <r>
      <rPr>
        <sz val="9"/>
        <color theme="1"/>
        <rFont val="Calibri"/>
        <family val="2"/>
      </rPr>
      <t xml:space="preserve"> </t>
    </r>
    <r>
      <rPr>
        <sz val="9"/>
        <color theme="1"/>
        <rFont val="맑은 고딕"/>
        <family val="3"/>
        <charset val="129"/>
      </rPr>
      <t>비워놓으면</t>
    </r>
    <r>
      <rPr>
        <sz val="9"/>
        <color theme="1"/>
        <rFont val="Calibri"/>
        <family val="2"/>
      </rPr>
      <t xml:space="preserve"> </t>
    </r>
    <r>
      <rPr>
        <sz val="9"/>
        <color theme="1"/>
        <rFont val="맑은 고딕"/>
        <family val="3"/>
        <charset val="129"/>
      </rPr>
      <t>완료율을</t>
    </r>
    <r>
      <rPr>
        <sz val="9"/>
        <color theme="1"/>
        <rFont val="Calibri"/>
        <family val="2"/>
      </rPr>
      <t xml:space="preserve"> 100%</t>
    </r>
    <r>
      <rPr>
        <sz val="9"/>
        <color theme="1"/>
        <rFont val="맑은 고딕"/>
        <family val="3"/>
        <charset val="129"/>
      </rPr>
      <t>로</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</si>
  <si>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t>If you want to learn the features quickly and easily, see the "Getting Started With XLGantt".</t>
    <phoneticPr fontId="11" type="noConversion"/>
  </si>
  <si>
    <r>
      <rPr>
        <sz val="9"/>
        <color theme="1"/>
        <rFont val="맑은 고딕"/>
        <family val="3"/>
        <charset val="129"/>
      </rPr>
      <t>기능을</t>
    </r>
    <r>
      <rPr>
        <sz val="9"/>
        <color theme="1"/>
        <rFont val="Calibri"/>
        <family val="2"/>
      </rPr>
      <t xml:space="preserve"> </t>
    </r>
    <r>
      <rPr>
        <sz val="9"/>
        <color theme="1"/>
        <rFont val="맑은 고딕"/>
        <family val="3"/>
        <charset val="129"/>
      </rPr>
      <t>간단히</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익히고</t>
    </r>
    <r>
      <rPr>
        <sz val="9"/>
        <color theme="1"/>
        <rFont val="Calibri"/>
        <family val="2"/>
      </rPr>
      <t xml:space="preserve"> </t>
    </r>
    <r>
      <rPr>
        <sz val="9"/>
        <color theme="1"/>
        <rFont val="맑은 고딕"/>
        <family val="3"/>
        <charset val="129"/>
      </rPr>
      <t>싶으면</t>
    </r>
    <r>
      <rPr>
        <sz val="9"/>
        <color theme="1"/>
        <rFont val="Calibri"/>
        <family val="2"/>
      </rPr>
      <t xml:space="preserve"> “</t>
    </r>
    <r>
      <rPr>
        <sz val="9"/>
        <color theme="1"/>
        <rFont val="맑은 고딕"/>
        <family val="3"/>
        <charset val="129"/>
      </rPr>
      <t>간단</t>
    </r>
    <r>
      <rPr>
        <sz val="9"/>
        <color theme="1"/>
        <rFont val="Calibri"/>
        <family val="2"/>
      </rPr>
      <t xml:space="preserve"> </t>
    </r>
    <r>
      <rPr>
        <sz val="9"/>
        <color theme="1"/>
        <rFont val="맑은 고딕"/>
        <family val="3"/>
        <charset val="129"/>
      </rPr>
      <t>사용법</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참고한다</t>
    </r>
  </si>
  <si>
    <t>Import</t>
  </si>
  <si>
    <r>
      <rPr>
        <sz val="9"/>
        <color theme="1"/>
        <rFont val="맑은 고딕"/>
        <family val="3"/>
        <charset val="129"/>
      </rPr>
      <t>가져오기</t>
    </r>
  </si>
  <si>
    <t xml:space="preserve">Import  Data of "ServerData" sheet on Startup </t>
    <phoneticPr fontId="11" type="noConversion"/>
  </si>
  <si>
    <r>
      <rPr>
        <sz val="9"/>
        <color theme="1"/>
        <rFont val="맑은 고딕"/>
        <family val="3"/>
        <charset val="129"/>
      </rPr>
      <t>프로그램</t>
    </r>
    <r>
      <rPr>
        <sz val="9"/>
        <color theme="1"/>
        <rFont val="Calibri"/>
        <family val="2"/>
      </rPr>
      <t xml:space="preserve"> </t>
    </r>
    <r>
      <rPr>
        <sz val="9"/>
        <color theme="1"/>
        <rFont val="맑은 고딕"/>
        <family val="3"/>
        <charset val="129"/>
      </rPr>
      <t>시작</t>
    </r>
    <r>
      <rPr>
        <sz val="9"/>
        <color theme="1"/>
        <rFont val="Calibri"/>
        <family val="2"/>
      </rPr>
      <t xml:space="preserve"> </t>
    </r>
    <r>
      <rPr>
        <sz val="9"/>
        <color theme="1"/>
        <rFont val="맑은 고딕"/>
        <family val="3"/>
        <charset val="129"/>
      </rPr>
      <t>시</t>
    </r>
    <r>
      <rPr>
        <sz val="9"/>
        <color theme="1"/>
        <rFont val="Calibri"/>
        <family val="2"/>
      </rPr>
      <t xml:space="preserve"> "ServerData" </t>
    </r>
    <r>
      <rPr>
        <sz val="9"/>
        <color theme="1"/>
        <rFont val="맑은 고딕"/>
        <family val="3"/>
        <charset val="129"/>
      </rPr>
      <t>시트의</t>
    </r>
    <r>
      <rPr>
        <sz val="9"/>
        <color theme="1"/>
        <rFont val="Calibri"/>
        <family val="2"/>
      </rPr>
      <t xml:space="preserve"> </t>
    </r>
    <r>
      <rPr>
        <sz val="9"/>
        <color theme="1"/>
        <rFont val="맑은 고딕"/>
        <family val="3"/>
        <charset val="129"/>
      </rPr>
      <t>데이터</t>
    </r>
    <r>
      <rPr>
        <sz val="9"/>
        <color theme="1"/>
        <rFont val="Calibri"/>
        <family val="2"/>
      </rPr>
      <t xml:space="preserve"> </t>
    </r>
    <r>
      <rPr>
        <sz val="9"/>
        <color theme="1"/>
        <rFont val="맑은 고딕"/>
        <family val="3"/>
        <charset val="129"/>
      </rPr>
      <t>가져오기</t>
    </r>
    <phoneticPr fontId="11" type="noConversion"/>
  </si>
  <si>
    <t>Import common Excel file</t>
  </si>
  <si>
    <r>
      <rPr>
        <sz val="9"/>
        <color theme="1"/>
        <rFont val="맑은 고딕"/>
        <family val="3"/>
        <charset val="129"/>
      </rPr>
      <t>일반</t>
    </r>
    <r>
      <rPr>
        <sz val="9"/>
        <color theme="1"/>
        <rFont val="Calibri"/>
        <family val="2"/>
      </rPr>
      <t xml:space="preserve"> Excel </t>
    </r>
    <r>
      <rPr>
        <sz val="9"/>
        <color theme="1"/>
        <rFont val="맑은 고딕"/>
        <family val="3"/>
        <charset val="129"/>
      </rPr>
      <t>파일</t>
    </r>
  </si>
  <si>
    <t>Import data after clearing the existing data</t>
  </si>
  <si>
    <r>
      <rPr>
        <sz val="9"/>
        <color theme="1"/>
        <rFont val="맑은 고딕"/>
        <family val="3"/>
        <charset val="129"/>
      </rPr>
      <t>기존</t>
    </r>
    <r>
      <rPr>
        <sz val="9"/>
        <color theme="1"/>
        <rFont val="Calibri"/>
        <family val="2"/>
      </rPr>
      <t xml:space="preserve">Data </t>
    </r>
    <r>
      <rPr>
        <sz val="9"/>
        <color theme="1"/>
        <rFont val="맑은 고딕"/>
        <family val="3"/>
        <charset val="129"/>
      </rPr>
      <t>지우고</t>
    </r>
    <r>
      <rPr>
        <sz val="9"/>
        <color theme="1"/>
        <rFont val="Calibri"/>
        <family val="2"/>
      </rPr>
      <t xml:space="preserve"> </t>
    </r>
    <r>
      <rPr>
        <sz val="9"/>
        <color theme="1"/>
        <rFont val="맑은 고딕"/>
        <family val="3"/>
        <charset val="129"/>
      </rPr>
      <t>가져오기</t>
    </r>
  </si>
  <si>
    <t>Import Data without Clearing the Existing Data</t>
  </si>
  <si>
    <r>
      <rPr>
        <sz val="9"/>
        <color theme="1"/>
        <rFont val="맑은 고딕"/>
        <family val="3"/>
        <charset val="129"/>
      </rPr>
      <t>기존</t>
    </r>
    <r>
      <rPr>
        <sz val="9"/>
        <color theme="1"/>
        <rFont val="Calibri"/>
        <family val="2"/>
      </rPr>
      <t xml:space="preserve">Data </t>
    </r>
    <r>
      <rPr>
        <sz val="9"/>
        <color theme="1"/>
        <rFont val="맑은 고딕"/>
        <family val="3"/>
        <charset val="129"/>
      </rPr>
      <t>아래에</t>
    </r>
    <r>
      <rPr>
        <sz val="9"/>
        <color theme="1"/>
        <rFont val="Calibri"/>
        <family val="2"/>
      </rPr>
      <t xml:space="preserve"> </t>
    </r>
    <r>
      <rPr>
        <sz val="9"/>
        <color theme="1"/>
        <rFont val="맑은 고딕"/>
        <family val="3"/>
        <charset val="129"/>
      </rPr>
      <t>추가하기</t>
    </r>
  </si>
  <si>
    <t>Import file format Error! Range A1 should contain "xlgantt_reserved" string.</t>
    <phoneticPr fontId="11" type="noConversion"/>
  </si>
  <si>
    <r>
      <rPr>
        <sz val="9"/>
        <color theme="1"/>
        <rFont val="맑은 고딕"/>
        <family val="3"/>
        <charset val="129"/>
      </rPr>
      <t>가져오는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잘못되었습니다</t>
    </r>
    <r>
      <rPr>
        <sz val="9"/>
        <color theme="1"/>
        <rFont val="Calibri"/>
        <family val="2"/>
      </rPr>
      <t>. A1</t>
    </r>
    <r>
      <rPr>
        <sz val="9"/>
        <color theme="1"/>
        <rFont val="맑은 고딕"/>
        <family val="3"/>
        <charset val="129"/>
      </rPr>
      <t>셀에는</t>
    </r>
    <r>
      <rPr>
        <sz val="9"/>
        <color theme="1"/>
        <rFont val="Calibri"/>
        <family val="2"/>
      </rPr>
      <t xml:space="preserve"> "xlgantt_reserved"</t>
    </r>
    <r>
      <rPr>
        <sz val="9"/>
        <color theme="1"/>
        <rFont val="맑은 고딕"/>
        <family val="3"/>
        <charset val="129"/>
      </rPr>
      <t>가</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합니다</t>
    </r>
    <r>
      <rPr>
        <sz val="9"/>
        <color theme="1"/>
        <rFont val="Calibri"/>
        <family val="2"/>
      </rPr>
      <t>.</t>
    </r>
    <phoneticPr fontId="11" type="noConversion"/>
  </si>
  <si>
    <t>Import file format Error! Range A2 should contain the import result.</t>
    <phoneticPr fontId="11" type="noConversion"/>
  </si>
  <si>
    <r>
      <rPr>
        <sz val="9"/>
        <color theme="1"/>
        <rFont val="맑은 고딕"/>
        <family val="3"/>
        <charset val="129"/>
      </rPr>
      <t>가져오는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잘못되었습니다</t>
    </r>
    <r>
      <rPr>
        <sz val="9"/>
        <color theme="1"/>
        <rFont val="Calibri"/>
        <family val="2"/>
      </rPr>
      <t>. A2</t>
    </r>
    <r>
      <rPr>
        <sz val="9"/>
        <color theme="1"/>
        <rFont val="맑은 고딕"/>
        <family val="3"/>
        <charset val="129"/>
      </rPr>
      <t>셀에는</t>
    </r>
    <r>
      <rPr>
        <sz val="9"/>
        <color theme="1"/>
        <rFont val="Calibri"/>
        <family val="2"/>
      </rPr>
      <t xml:space="preserve"> </t>
    </r>
    <r>
      <rPr>
        <sz val="9"/>
        <color theme="1"/>
        <rFont val="맑은 고딕"/>
        <family val="3"/>
        <charset val="129"/>
      </rPr>
      <t>가져오기</t>
    </r>
    <r>
      <rPr>
        <sz val="9"/>
        <color theme="1"/>
        <rFont val="Calibri"/>
        <family val="2"/>
      </rPr>
      <t xml:space="preserve"> </t>
    </r>
    <r>
      <rPr>
        <sz val="9"/>
        <color theme="1"/>
        <rFont val="맑은 고딕"/>
        <family val="3"/>
        <charset val="129"/>
      </rPr>
      <t>결과가</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합니다</t>
    </r>
    <r>
      <rPr>
        <sz val="9"/>
        <color theme="1"/>
        <rFont val="Calibri"/>
        <family val="2"/>
      </rPr>
      <t>.</t>
    </r>
    <phoneticPr fontId="11" type="noConversion"/>
  </si>
  <si>
    <t>Import files created in XLGantt</t>
  </si>
  <si>
    <r>
      <t>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가져오기</t>
    </r>
  </si>
  <si>
    <t>Import from Server</t>
    <phoneticPr fontId="11" type="noConversion"/>
  </si>
  <si>
    <r>
      <rPr>
        <sz val="9"/>
        <color theme="1"/>
        <rFont val="맑은 고딕"/>
        <family val="3"/>
        <charset val="129"/>
      </rPr>
      <t>서버에서</t>
    </r>
    <r>
      <rPr>
        <sz val="9"/>
        <color theme="1"/>
        <rFont val="Calibri"/>
        <family val="2"/>
      </rPr>
      <t>\n</t>
    </r>
    <r>
      <rPr>
        <sz val="9"/>
        <color theme="1"/>
        <rFont val="맑은 고딕"/>
        <family val="3"/>
        <charset val="129"/>
      </rPr>
      <t>가져오기</t>
    </r>
    <phoneticPr fontId="11" type="noConversion"/>
  </si>
  <si>
    <t>Import has already been completed.</t>
    <phoneticPr fontId="11" type="noConversion"/>
  </si>
  <si>
    <r>
      <rPr>
        <sz val="9"/>
        <color theme="1"/>
        <rFont val="맑은 고딕"/>
        <family val="3"/>
        <charset val="129"/>
      </rPr>
      <t>가져오기가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완료되었습니다</t>
    </r>
    <r>
      <rPr>
        <sz val="9"/>
        <color theme="1"/>
        <rFont val="Calibri"/>
        <family val="2"/>
      </rPr>
      <t>.</t>
    </r>
    <phoneticPr fontId="11" type="noConversion"/>
  </si>
  <si>
    <t>Import new data into the Schedule sheet after clearing the exisint data</t>
  </si>
  <si>
    <r>
      <rPr>
        <sz val="9"/>
        <color theme="1"/>
        <rFont val="맑은 고딕"/>
        <family val="3"/>
        <charset val="129"/>
      </rPr>
      <t>이</t>
    </r>
    <r>
      <rPr>
        <sz val="9"/>
        <color theme="1"/>
        <rFont val="Calibri"/>
        <family val="2"/>
      </rPr>
      <t xml:space="preserve"> XLGantt</t>
    </r>
    <r>
      <rPr>
        <sz val="9"/>
        <color theme="1"/>
        <rFont val="맑은 고딕"/>
        <family val="3"/>
        <charset val="129"/>
      </rPr>
      <t>파일에</t>
    </r>
    <r>
      <rPr>
        <sz val="9"/>
        <color theme="1"/>
        <rFont val="Calibri"/>
        <family val="2"/>
      </rPr>
      <t xml:space="preserve"> </t>
    </r>
    <r>
      <rPr>
        <sz val="9"/>
        <color theme="1"/>
        <rFont val="맑은 고딕"/>
        <family val="3"/>
        <charset val="129"/>
      </rPr>
      <t>있는</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지우고</t>
    </r>
    <r>
      <rPr>
        <sz val="9"/>
        <color theme="1"/>
        <rFont val="Calibri"/>
        <family val="2"/>
      </rPr>
      <t xml:space="preserve"> </t>
    </r>
    <r>
      <rPr>
        <sz val="9"/>
        <color theme="1"/>
        <rFont val="맑은 고딕"/>
        <family val="3"/>
        <charset val="129"/>
      </rPr>
      <t>새로운</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가져와서</t>
    </r>
    <r>
      <rPr>
        <sz val="9"/>
        <color theme="1"/>
        <rFont val="Calibri"/>
        <family val="2"/>
      </rPr>
      <t xml:space="preserve"> _x000D_
</t>
    </r>
    <r>
      <rPr>
        <sz val="9"/>
        <color theme="1"/>
        <rFont val="맑은 고딕"/>
        <family val="3"/>
        <charset val="129"/>
      </rPr>
      <t>붙여</t>
    </r>
    <r>
      <rPr>
        <sz val="9"/>
        <color theme="1"/>
        <rFont val="Calibri"/>
        <family val="2"/>
      </rPr>
      <t xml:space="preserve"> </t>
    </r>
    <r>
      <rPr>
        <sz val="9"/>
        <color theme="1"/>
        <rFont val="맑은 고딕"/>
        <family val="3"/>
        <charset val="129"/>
      </rPr>
      <t>넣기</t>
    </r>
  </si>
  <si>
    <t>Import new data into the Schedule sheet without clearing the existing  data</t>
  </si>
  <si>
    <r>
      <rPr>
        <sz val="9"/>
        <color theme="1"/>
        <rFont val="맑은 고딕"/>
        <family val="3"/>
        <charset val="129"/>
      </rPr>
      <t>이</t>
    </r>
    <r>
      <rPr>
        <sz val="9"/>
        <color theme="1"/>
        <rFont val="Calibri"/>
        <family val="2"/>
      </rPr>
      <t xml:space="preserve"> XLGantt</t>
    </r>
    <r>
      <rPr>
        <sz val="9"/>
        <color theme="1"/>
        <rFont val="맑은 고딕"/>
        <family val="3"/>
        <charset val="129"/>
      </rPr>
      <t>파일에</t>
    </r>
    <r>
      <rPr>
        <sz val="9"/>
        <color theme="1"/>
        <rFont val="Calibri"/>
        <family val="2"/>
      </rPr>
      <t xml:space="preserve"> </t>
    </r>
    <r>
      <rPr>
        <sz val="9"/>
        <color theme="1"/>
        <rFont val="맑은 고딕"/>
        <family val="3"/>
        <charset val="129"/>
      </rPr>
      <t>있는</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그대로</t>
    </r>
    <r>
      <rPr>
        <sz val="9"/>
        <color theme="1"/>
        <rFont val="Calibri"/>
        <family val="2"/>
      </rPr>
      <t xml:space="preserve"> </t>
    </r>
    <r>
      <rPr>
        <sz val="9"/>
        <color theme="1"/>
        <rFont val="맑은 고딕"/>
        <family val="3"/>
        <charset val="129"/>
      </rPr>
      <t>두고</t>
    </r>
    <r>
      <rPr>
        <sz val="9"/>
        <color theme="1"/>
        <rFont val="Calibri"/>
        <family val="2"/>
      </rPr>
      <t xml:space="preserve"> </t>
    </r>
    <r>
      <rPr>
        <sz val="9"/>
        <color theme="1"/>
        <rFont val="맑은 고딕"/>
        <family val="3"/>
        <charset val="129"/>
      </rPr>
      <t>맨</t>
    </r>
    <r>
      <rPr>
        <sz val="9"/>
        <color theme="1"/>
        <rFont val="Calibri"/>
        <family val="2"/>
      </rPr>
      <t xml:space="preserve"> </t>
    </r>
    <r>
      <rPr>
        <sz val="9"/>
        <color theme="1"/>
        <rFont val="맑은 고딕"/>
        <family val="3"/>
        <charset val="129"/>
      </rPr>
      <t>아래에</t>
    </r>
    <r>
      <rPr>
        <sz val="9"/>
        <color theme="1"/>
        <rFont val="Calibri"/>
        <family val="2"/>
      </rPr>
      <t xml:space="preserve"> </t>
    </r>
    <r>
      <rPr>
        <sz val="9"/>
        <color theme="1"/>
        <rFont val="맑은 고딕"/>
        <family val="3"/>
        <charset val="129"/>
      </rPr>
      <t>새로운</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가져와서</t>
    </r>
    <r>
      <rPr>
        <sz val="9"/>
        <color theme="1"/>
        <rFont val="Calibri"/>
        <family val="2"/>
      </rPr>
      <t xml:space="preserve"> </t>
    </r>
    <r>
      <rPr>
        <sz val="9"/>
        <color theme="1"/>
        <rFont val="맑은 고딕"/>
        <family val="3"/>
        <charset val="129"/>
      </rPr>
      <t>붙여</t>
    </r>
    <r>
      <rPr>
        <sz val="9"/>
        <color theme="1"/>
        <rFont val="Calibri"/>
        <family val="2"/>
      </rPr>
      <t xml:space="preserve"> </t>
    </r>
    <r>
      <rPr>
        <sz val="9"/>
        <color theme="1"/>
        <rFont val="맑은 고딕"/>
        <family val="3"/>
        <charset val="129"/>
      </rPr>
      <t>넣기</t>
    </r>
  </si>
  <si>
    <t>Import Option</t>
  </si>
  <si>
    <r>
      <rPr>
        <sz val="9"/>
        <color theme="1"/>
        <rFont val="맑은 고딕"/>
        <family val="3"/>
        <charset val="129"/>
      </rPr>
      <t>가져오기</t>
    </r>
    <r>
      <rPr>
        <sz val="9"/>
        <color theme="1"/>
        <rFont val="Calibri"/>
        <family val="2"/>
      </rPr>
      <t xml:space="preserve"> </t>
    </r>
    <r>
      <rPr>
        <sz val="9"/>
        <color theme="1"/>
        <rFont val="맑은 고딕"/>
        <family val="3"/>
        <charset val="129"/>
      </rPr>
      <t>옵션</t>
    </r>
  </si>
  <si>
    <t xml:space="preserve">Import success!\nTotal rows of imported data : </t>
  </si>
  <si>
    <r>
      <rPr>
        <sz val="9"/>
        <color theme="1"/>
        <rFont val="맑은 고딕"/>
        <family val="3"/>
        <charset val="129"/>
      </rPr>
      <t>가져오기</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완료되었습니다</t>
    </r>
    <r>
      <rPr>
        <sz val="9"/>
        <color theme="1"/>
        <rFont val="Calibri"/>
        <family val="2"/>
      </rPr>
      <t>.\n</t>
    </r>
    <r>
      <rPr>
        <sz val="9"/>
        <color theme="1"/>
        <rFont val="맑은 고딕"/>
        <family val="3"/>
        <charset val="129"/>
      </rPr>
      <t>가져온</t>
    </r>
    <r>
      <rPr>
        <sz val="9"/>
        <color theme="1"/>
        <rFont val="Calibri"/>
        <family val="2"/>
      </rPr>
      <t xml:space="preserve"> </t>
    </r>
    <r>
      <rPr>
        <sz val="9"/>
        <color theme="1"/>
        <rFont val="맑은 고딕"/>
        <family val="3"/>
        <charset val="129"/>
      </rPr>
      <t>자료의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행수</t>
    </r>
    <r>
      <rPr>
        <sz val="9"/>
        <color theme="1"/>
        <rFont val="Calibri"/>
        <family val="2"/>
      </rPr>
      <t xml:space="preserve"> : </t>
    </r>
  </si>
  <si>
    <t>Import without clearing the existing data.</t>
  </si>
  <si>
    <r>
      <rPr>
        <sz val="9"/>
        <color theme="1"/>
        <rFont val="맑은 고딕"/>
        <family val="3"/>
        <charset val="129"/>
      </rPr>
      <t>기존</t>
    </r>
    <r>
      <rPr>
        <sz val="9"/>
        <color theme="1"/>
        <rFont val="Calibri"/>
        <family val="2"/>
      </rPr>
      <t>Data</t>
    </r>
    <r>
      <rPr>
        <sz val="9"/>
        <color theme="1"/>
        <rFont val="맑은 고딕"/>
        <family val="3"/>
        <charset val="129"/>
      </rPr>
      <t>에</t>
    </r>
    <r>
      <rPr>
        <sz val="9"/>
        <color theme="1"/>
        <rFont val="Calibri"/>
        <family val="2"/>
      </rPr>
      <t xml:space="preserve"> </t>
    </r>
    <r>
      <rPr>
        <sz val="9"/>
        <color theme="1"/>
        <rFont val="맑은 고딕"/>
        <family val="3"/>
        <charset val="129"/>
      </rPr>
      <t>추가하기</t>
    </r>
  </si>
  <si>
    <t>Import Wizard</t>
  </si>
  <si>
    <r>
      <rPr>
        <sz val="9"/>
        <color theme="1"/>
        <rFont val="맑은 고딕"/>
        <family val="3"/>
        <charset val="129"/>
      </rPr>
      <t>파일</t>
    </r>
    <r>
      <rPr>
        <sz val="9"/>
        <color theme="1"/>
        <rFont val="Calibri"/>
        <family val="2"/>
      </rPr>
      <t xml:space="preserve"> </t>
    </r>
    <r>
      <rPr>
        <sz val="9"/>
        <color theme="1"/>
        <rFont val="맑은 고딕"/>
        <family val="3"/>
        <charset val="129"/>
      </rPr>
      <t>가져오기</t>
    </r>
  </si>
  <si>
    <t>Importing Schedules from Another File</t>
    <phoneticPr fontId="11" type="noConversion"/>
  </si>
  <si>
    <r>
      <rPr>
        <sz val="9"/>
        <color theme="1"/>
        <rFont val="맑은 고딕"/>
        <family val="3"/>
        <charset val="129"/>
      </rPr>
      <t>다른</t>
    </r>
    <r>
      <rPr>
        <sz val="9"/>
        <color theme="1"/>
        <rFont val="Calibri"/>
        <family val="2"/>
      </rPr>
      <t xml:space="preserve"> </t>
    </r>
    <r>
      <rPr>
        <sz val="9"/>
        <color theme="1"/>
        <rFont val="맑은 고딕"/>
        <family val="3"/>
        <charset val="129"/>
      </rPr>
      <t>파일에서</t>
    </r>
    <r>
      <rPr>
        <sz val="9"/>
        <color theme="1"/>
        <rFont val="Calibri"/>
        <family val="2"/>
      </rPr>
      <t xml:space="preserve"> </t>
    </r>
    <r>
      <rPr>
        <sz val="9"/>
        <color theme="1"/>
        <rFont val="맑은 고딕"/>
        <family val="3"/>
        <charset val="129"/>
      </rPr>
      <t>일정</t>
    </r>
    <r>
      <rPr>
        <sz val="9"/>
        <color theme="1"/>
        <rFont val="Calibri"/>
        <family val="2"/>
      </rPr>
      <t xml:space="preserve"> </t>
    </r>
    <r>
      <rPr>
        <sz val="9"/>
        <color theme="1"/>
        <rFont val="맑은 고딕"/>
        <family val="3"/>
        <charset val="129"/>
      </rPr>
      <t>가져오기</t>
    </r>
  </si>
  <si>
    <t>Importing Server Data</t>
    <phoneticPr fontId="11" type="noConversion"/>
  </si>
  <si>
    <r>
      <t xml:space="preserve">Server Data </t>
    </r>
    <r>
      <rPr>
        <sz val="9"/>
        <color theme="1"/>
        <rFont val="맑은 고딕"/>
        <family val="3"/>
        <charset val="129"/>
      </rPr>
      <t>가져오기</t>
    </r>
  </si>
  <si>
    <t>Importing..., Please wait...</t>
  </si>
  <si>
    <r>
      <rPr>
        <sz val="9"/>
        <color theme="1"/>
        <rFont val="맑은 고딕"/>
        <family val="3"/>
        <charset val="129"/>
      </rPr>
      <t>자료를</t>
    </r>
    <r>
      <rPr>
        <sz val="9"/>
        <color theme="1"/>
        <rFont val="Calibri"/>
        <family val="2"/>
      </rPr>
      <t xml:space="preserve"> </t>
    </r>
    <r>
      <rPr>
        <sz val="9"/>
        <color theme="1"/>
        <rFont val="맑은 고딕"/>
        <family val="3"/>
        <charset val="129"/>
      </rPr>
      <t>가져옵니다</t>
    </r>
    <r>
      <rPr>
        <sz val="9"/>
        <color theme="1"/>
        <rFont val="Calibri"/>
        <family val="2"/>
      </rPr>
      <t xml:space="preserve">. </t>
    </r>
    <r>
      <rPr>
        <sz val="9"/>
        <color theme="1"/>
        <rFont val="맑은 고딕"/>
        <family val="3"/>
        <charset val="129"/>
      </rPr>
      <t>잠시만</t>
    </r>
    <r>
      <rPr>
        <sz val="9"/>
        <color theme="1"/>
        <rFont val="Calibri"/>
        <family val="2"/>
      </rPr>
      <t xml:space="preserve"> </t>
    </r>
    <r>
      <rPr>
        <sz val="9"/>
        <color theme="1"/>
        <rFont val="맑은 고딕"/>
        <family val="3"/>
        <charset val="129"/>
      </rPr>
      <t>기다려주세요</t>
    </r>
    <r>
      <rPr>
        <sz val="9"/>
        <color theme="1"/>
        <rFont val="Calibri"/>
        <family val="2"/>
      </rPr>
      <t>...</t>
    </r>
  </si>
  <si>
    <t>Imports schedules into XLGantt. You can import the schedules by mapping the fields.</t>
    <phoneticPr fontId="11" type="noConversion"/>
  </si>
  <si>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엑셀간트</t>
    </r>
    <r>
      <rPr>
        <sz val="9"/>
        <color theme="1"/>
        <rFont val="Calibri"/>
        <family val="2"/>
      </rPr>
      <t xml:space="preserve">(XLGantt) </t>
    </r>
    <r>
      <rPr>
        <sz val="9"/>
        <color theme="1"/>
        <rFont val="맑은 고딕"/>
        <family val="3"/>
        <charset val="129"/>
      </rPr>
      <t>또는</t>
    </r>
    <r>
      <rPr>
        <sz val="9"/>
        <color theme="1"/>
        <rFont val="Calibri"/>
        <family val="2"/>
      </rPr>
      <t xml:space="preserve"> </t>
    </r>
    <r>
      <rPr>
        <sz val="9"/>
        <color theme="1"/>
        <rFont val="맑은 고딕"/>
        <family val="3"/>
        <charset val="129"/>
      </rPr>
      <t>일반</t>
    </r>
    <r>
      <rPr>
        <sz val="9"/>
        <color theme="1"/>
        <rFont val="Calibri"/>
        <family val="2"/>
      </rPr>
      <t xml:space="preserve"> </t>
    </r>
    <r>
      <rPr>
        <sz val="9"/>
        <color theme="1"/>
        <rFont val="맑은 고딕"/>
        <family val="3"/>
        <charset val="129"/>
      </rPr>
      <t>엑셀파일로</t>
    </r>
    <r>
      <rPr>
        <sz val="9"/>
        <color theme="1"/>
        <rFont val="Calibri"/>
        <family val="2"/>
      </rPr>
      <t xml:space="preserve"> </t>
    </r>
    <r>
      <rPr>
        <sz val="9"/>
        <color theme="1"/>
        <rFont val="맑은 고딕"/>
        <family val="3"/>
        <charset val="129"/>
      </rPr>
      <t>만들어진</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가져오는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t>
    </r>
  </si>
  <si>
    <t>Included in the selection\nlist when deliverables\nnot specified</t>
  </si>
  <si>
    <r>
      <rPr>
        <sz val="9"/>
        <color theme="1"/>
        <rFont val="맑은 고딕"/>
        <family val="3"/>
        <charset val="129"/>
      </rPr>
      <t>산출물명</t>
    </r>
    <r>
      <rPr>
        <sz val="9"/>
        <color theme="1"/>
        <rFont val="Calibri"/>
        <family val="2"/>
      </rPr>
      <t xml:space="preserve"> </t>
    </r>
    <r>
      <rPr>
        <sz val="9"/>
        <color theme="1"/>
        <rFont val="맑은 고딕"/>
        <family val="3"/>
        <charset val="129"/>
      </rPr>
      <t>비었을때</t>
    </r>
    <r>
      <rPr>
        <sz val="9"/>
        <color theme="1"/>
        <rFont val="Calibri"/>
        <family val="2"/>
      </rPr>
      <t>\n</t>
    </r>
    <r>
      <rPr>
        <sz val="9"/>
        <color theme="1"/>
        <rFont val="맑은 고딕"/>
        <family val="3"/>
        <charset val="129"/>
      </rPr>
      <t>선택목록에</t>
    </r>
    <r>
      <rPr>
        <sz val="9"/>
        <color theme="1"/>
        <rFont val="Calibri"/>
        <family val="2"/>
      </rPr>
      <t xml:space="preserve"> </t>
    </r>
    <r>
      <rPr>
        <sz val="9"/>
        <color theme="1"/>
        <rFont val="맑은 고딕"/>
        <family val="3"/>
        <charset val="129"/>
      </rPr>
      <t>포함</t>
    </r>
    <r>
      <rPr>
        <sz val="9"/>
        <color theme="1"/>
        <rFont val="Calibri"/>
        <family val="2"/>
      </rPr>
      <t>\n</t>
    </r>
    <r>
      <rPr>
        <sz val="9"/>
        <color theme="1"/>
        <rFont val="맑은 고딕"/>
        <family val="3"/>
        <charset val="129"/>
      </rPr>
      <t>여부</t>
    </r>
  </si>
  <si>
    <t>Indent Task</t>
  </si>
  <si>
    <r>
      <rPr>
        <sz val="9"/>
        <color theme="1"/>
        <rFont val="맑은 고딕"/>
        <family val="3"/>
        <charset val="129"/>
      </rPr>
      <t>작업레벨</t>
    </r>
    <r>
      <rPr>
        <sz val="9"/>
        <color theme="1"/>
        <rFont val="Calibri"/>
        <family val="2"/>
      </rPr>
      <t xml:space="preserve"> </t>
    </r>
    <r>
      <rPr>
        <sz val="9"/>
        <color theme="1"/>
        <rFont val="맑은 고딕"/>
        <family val="3"/>
        <charset val="129"/>
      </rPr>
      <t>내림</t>
    </r>
  </si>
  <si>
    <t>Inside of the chart</t>
  </si>
  <si>
    <r>
      <t xml:space="preserve">Chart </t>
    </r>
    <r>
      <rPr>
        <sz val="9"/>
        <color theme="1"/>
        <rFont val="맑은 고딕"/>
        <family val="3"/>
        <charset val="129"/>
      </rPr>
      <t>내부</t>
    </r>
  </si>
  <si>
    <t>Integration with Excel Features</t>
    <phoneticPr fontId="11" type="noConversion"/>
  </si>
  <si>
    <r>
      <t>Excel</t>
    </r>
    <r>
      <rPr>
        <sz val="9"/>
        <color theme="1"/>
        <rFont val="맑은 고딕"/>
        <family val="3"/>
        <charset val="129"/>
      </rPr>
      <t>기능과</t>
    </r>
    <r>
      <rPr>
        <sz val="9"/>
        <color theme="1"/>
        <rFont val="Calibri"/>
        <family val="2"/>
      </rPr>
      <t xml:space="preserve"> </t>
    </r>
    <r>
      <rPr>
        <sz val="9"/>
        <color theme="1"/>
        <rFont val="맑은 고딕"/>
        <family val="3"/>
        <charset val="129"/>
      </rPr>
      <t>통합</t>
    </r>
    <phoneticPr fontId="11" type="noConversion"/>
  </si>
  <si>
    <t>Invalid field name!</t>
    <phoneticPr fontId="11" type="noConversion"/>
  </si>
  <si>
    <r>
      <rPr>
        <sz val="9"/>
        <color theme="1"/>
        <rFont val="맑은 고딕"/>
        <family val="3"/>
        <charset val="129"/>
      </rPr>
      <t>필드명이</t>
    </r>
    <r>
      <rPr>
        <sz val="9"/>
        <color theme="1"/>
        <rFont val="Calibri"/>
        <family val="2"/>
      </rPr>
      <t xml:space="preserve"> </t>
    </r>
    <r>
      <rPr>
        <sz val="9"/>
        <color theme="1"/>
        <rFont val="맑은 고딕"/>
        <family val="3"/>
        <charset val="129"/>
      </rPr>
      <t>잘못되었습니다</t>
    </r>
    <r>
      <rPr>
        <sz val="9"/>
        <color theme="1"/>
        <rFont val="Calibri"/>
        <family val="2"/>
      </rPr>
      <t>!</t>
    </r>
    <phoneticPr fontId="11" type="noConversion"/>
  </si>
  <si>
    <t>It is used when you want to see schedule data of IT system where server exists separately.</t>
    <phoneticPr fontId="11" type="noConversion"/>
  </si>
  <si>
    <r>
      <t>Server</t>
    </r>
    <r>
      <rPr>
        <sz val="9"/>
        <color theme="1"/>
        <rFont val="맑은 고딕"/>
        <family val="3"/>
        <charset val="129"/>
      </rPr>
      <t>가</t>
    </r>
    <r>
      <rPr>
        <sz val="9"/>
        <color theme="1"/>
        <rFont val="Calibri"/>
        <family val="2"/>
      </rPr>
      <t xml:space="preserve"> </t>
    </r>
    <r>
      <rPr>
        <sz val="9"/>
        <color theme="1"/>
        <rFont val="맑은 고딕"/>
        <family val="3"/>
        <charset val="129"/>
      </rPr>
      <t>별도로</t>
    </r>
    <r>
      <rPr>
        <sz val="9"/>
        <color theme="1"/>
        <rFont val="Calibri"/>
        <family val="2"/>
      </rPr>
      <t xml:space="preserve"> </t>
    </r>
    <r>
      <rPr>
        <sz val="9"/>
        <color theme="1"/>
        <rFont val="맑은 고딕"/>
        <family val="3"/>
        <charset val="129"/>
      </rPr>
      <t>존재하는</t>
    </r>
    <r>
      <rPr>
        <sz val="9"/>
        <color theme="1"/>
        <rFont val="Calibri"/>
        <family val="2"/>
      </rPr>
      <t xml:space="preserve"> IT</t>
    </r>
    <r>
      <rPr>
        <sz val="9"/>
        <color theme="1"/>
        <rFont val="맑은 고딕"/>
        <family val="3"/>
        <charset val="129"/>
      </rPr>
      <t>시스템의</t>
    </r>
    <r>
      <rPr>
        <sz val="9"/>
        <color theme="1"/>
        <rFont val="Calibri"/>
        <family val="2"/>
      </rPr>
      <t xml:space="preserve"> </t>
    </r>
    <r>
      <rPr>
        <sz val="9"/>
        <color theme="1"/>
        <rFont val="맑은 고딕"/>
        <family val="3"/>
        <charset val="129"/>
      </rPr>
      <t>일정관리</t>
    </r>
    <r>
      <rPr>
        <sz val="9"/>
        <color theme="1"/>
        <rFont val="Calibri"/>
        <family val="2"/>
      </rPr>
      <t xml:space="preserve"> Data</t>
    </r>
    <r>
      <rPr>
        <sz val="9"/>
        <color theme="1"/>
        <rFont val="맑은 고딕"/>
        <family val="3"/>
        <charset val="129"/>
      </rPr>
      <t>를</t>
    </r>
    <r>
      <rPr>
        <sz val="9"/>
        <color theme="1"/>
        <rFont val="Calibri"/>
        <family val="2"/>
      </rPr>
      <t xml:space="preserve"> PC</t>
    </r>
    <r>
      <rPr>
        <sz val="9"/>
        <color theme="1"/>
        <rFont val="맑은 고딕"/>
        <family val="3"/>
        <charset val="129"/>
      </rPr>
      <t>에서</t>
    </r>
    <r>
      <rPr>
        <sz val="9"/>
        <color theme="1"/>
        <rFont val="Calibri"/>
        <family val="2"/>
      </rPr>
      <t xml:space="preserve"> </t>
    </r>
    <r>
      <rPr>
        <sz val="9"/>
        <color theme="1"/>
        <rFont val="맑은 고딕"/>
        <family val="3"/>
        <charset val="129"/>
      </rPr>
      <t>보고자할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사용한다</t>
    </r>
    <r>
      <rPr>
        <sz val="9"/>
        <color theme="1"/>
        <rFont val="Calibri"/>
        <family val="2"/>
      </rPr>
      <t>.</t>
    </r>
  </si>
  <si>
    <t>It recalculates duration and % Work Complete. Clicking the Save button will be the same.</t>
  </si>
  <si>
    <t>It's already chosen language.</t>
  </si>
  <si>
    <r>
      <rPr>
        <sz val="9"/>
        <color theme="1"/>
        <rFont val="맑은 고딕"/>
        <family val="3"/>
        <charset val="129"/>
      </rPr>
      <t>이미</t>
    </r>
    <r>
      <rPr>
        <sz val="9"/>
        <color theme="1"/>
        <rFont val="Calibri"/>
        <family val="2"/>
      </rPr>
      <t xml:space="preserve"> </t>
    </r>
    <r>
      <rPr>
        <sz val="9"/>
        <color theme="1"/>
        <rFont val="맑은 고딕"/>
        <family val="3"/>
        <charset val="129"/>
      </rPr>
      <t>선택된</t>
    </r>
    <r>
      <rPr>
        <sz val="9"/>
        <color theme="1"/>
        <rFont val="Calibri"/>
        <family val="2"/>
      </rPr>
      <t xml:space="preserve"> </t>
    </r>
    <r>
      <rPr>
        <sz val="9"/>
        <color theme="1"/>
        <rFont val="맑은 고딕"/>
        <family val="3"/>
        <charset val="129"/>
      </rPr>
      <t>언어입니다</t>
    </r>
    <r>
      <rPr>
        <sz val="9"/>
        <color theme="1"/>
        <rFont val="Calibri"/>
        <family val="2"/>
      </rPr>
      <t>.</t>
    </r>
  </si>
  <si>
    <t>Job Results</t>
  </si>
  <si>
    <r>
      <rPr>
        <sz val="9"/>
        <color theme="1"/>
        <rFont val="맑은 고딕"/>
        <family val="3"/>
        <charset val="129"/>
      </rPr>
      <t>작업결과</t>
    </r>
  </si>
  <si>
    <t>John</t>
  </si>
  <si>
    <r>
      <rPr>
        <sz val="9"/>
        <color theme="1"/>
        <rFont val="맑은 고딕"/>
        <family val="3"/>
        <charset val="129"/>
      </rPr>
      <t>홍길동</t>
    </r>
  </si>
  <si>
    <t>Keeping track of project progress</t>
    <phoneticPr fontId="1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</si>
  <si>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진행상황</t>
    </r>
    <r>
      <rPr>
        <sz val="9"/>
        <color theme="1"/>
        <rFont val="Calibri"/>
        <family val="2"/>
      </rPr>
      <t xml:space="preserve"> </t>
    </r>
    <r>
      <rPr>
        <sz val="9"/>
        <color theme="1"/>
        <rFont val="맑은 고딕"/>
        <family val="3"/>
        <charset val="129"/>
      </rPr>
      <t>파악하기</t>
    </r>
  </si>
  <si>
    <t>Language</t>
  </si>
  <si>
    <r>
      <rPr>
        <sz val="9"/>
        <color theme="1"/>
        <rFont val="맑은 고딕"/>
        <family val="3"/>
        <charset val="129"/>
      </rPr>
      <t>언어</t>
    </r>
    <phoneticPr fontId="11" type="noConversion"/>
  </si>
  <si>
    <t>Left of the chart</t>
  </si>
  <si>
    <r>
      <t xml:space="preserve">Chart </t>
    </r>
    <r>
      <rPr>
        <sz val="9"/>
        <color theme="1"/>
        <rFont val="맑은 고딕"/>
        <family val="3"/>
        <charset val="129"/>
      </rPr>
      <t>왼쪽</t>
    </r>
  </si>
  <si>
    <t>License</t>
  </si>
  <si>
    <r>
      <rPr>
        <sz val="9"/>
        <color theme="1"/>
        <rFont val="맑은 고딕"/>
        <family val="3"/>
        <charset val="129"/>
      </rPr>
      <t>라이선스</t>
    </r>
  </si>
  <si>
    <t>Makes workload data by weekly and monthly. You can do analysis as you want by using Excel features such as pivot.</t>
    <phoneticPr fontId="11" type="noConversion"/>
  </si>
  <si>
    <r>
      <t>Workload data</t>
    </r>
    <r>
      <rPr>
        <sz val="9"/>
        <color theme="1"/>
        <rFont val="맑은 고딕"/>
        <family val="3"/>
        <charset val="129"/>
      </rPr>
      <t>를</t>
    </r>
    <r>
      <rPr>
        <sz val="9"/>
        <color theme="1"/>
        <rFont val="Calibri"/>
        <family val="2"/>
      </rPr>
      <t xml:space="preserve"> </t>
    </r>
    <r>
      <rPr>
        <sz val="9"/>
        <color theme="1"/>
        <rFont val="맑은 고딕"/>
        <family val="3"/>
        <charset val="129"/>
      </rPr>
      <t>주별</t>
    </r>
    <r>
      <rPr>
        <sz val="9"/>
        <color theme="1"/>
        <rFont val="Calibri"/>
        <family val="2"/>
      </rPr>
      <t>/</t>
    </r>
    <r>
      <rPr>
        <sz val="9"/>
        <color theme="1"/>
        <rFont val="맑은 고딕"/>
        <family val="3"/>
        <charset val="129"/>
      </rPr>
      <t>월별로</t>
    </r>
    <r>
      <rPr>
        <sz val="9"/>
        <color theme="1"/>
        <rFont val="Calibri"/>
        <family val="2"/>
      </rPr>
      <t xml:space="preserve"> </t>
    </r>
    <r>
      <rPr>
        <sz val="9"/>
        <color theme="1"/>
        <rFont val="맑은 고딕"/>
        <family val="3"/>
        <charset val="129"/>
      </rPr>
      <t>만들어</t>
    </r>
    <r>
      <rPr>
        <sz val="9"/>
        <color theme="1"/>
        <rFont val="Calibri"/>
        <family val="2"/>
      </rPr>
      <t xml:space="preserve"> </t>
    </r>
    <r>
      <rPr>
        <sz val="9"/>
        <color theme="1"/>
        <rFont val="맑은 고딕"/>
        <family val="3"/>
        <charset val="129"/>
      </rPr>
      <t>준다</t>
    </r>
    <r>
      <rPr>
        <sz val="9"/>
        <color theme="1"/>
        <rFont val="Calibri"/>
        <family val="2"/>
      </rPr>
      <t xml:space="preserve">. </t>
    </r>
    <r>
      <rPr>
        <sz val="9"/>
        <color theme="1"/>
        <rFont val="맑은 고딕"/>
        <family val="3"/>
        <charset val="129"/>
      </rPr>
      <t>피벗</t>
    </r>
    <r>
      <rPr>
        <sz val="9"/>
        <color theme="1"/>
        <rFont val="Calibri"/>
        <family val="2"/>
      </rPr>
      <t xml:space="preserve"> </t>
    </r>
    <r>
      <rPr>
        <sz val="9"/>
        <color theme="1"/>
        <rFont val="맑은 고딕"/>
        <family val="3"/>
        <charset val="129"/>
      </rPr>
      <t>등의</t>
    </r>
    <r>
      <rPr>
        <sz val="9"/>
        <color theme="1"/>
        <rFont val="Calibri"/>
        <family val="2"/>
      </rPr>
      <t xml:space="preserve"> </t>
    </r>
    <r>
      <rPr>
        <sz val="9"/>
        <color theme="1"/>
        <rFont val="맑은 고딕"/>
        <family val="3"/>
        <charset val="129"/>
      </rPr>
      <t>기능으로</t>
    </r>
    <r>
      <rPr>
        <sz val="9"/>
        <color theme="1"/>
        <rFont val="Calibri"/>
        <family val="2"/>
      </rPr>
      <t xml:space="preserve"> </t>
    </r>
    <r>
      <rPr>
        <sz val="9"/>
        <color theme="1"/>
        <rFont val="맑은 고딕"/>
        <family val="3"/>
        <charset val="129"/>
      </rPr>
      <t>사용자가</t>
    </r>
    <r>
      <rPr>
        <sz val="9"/>
        <color theme="1"/>
        <rFont val="Calibri"/>
        <family val="2"/>
      </rPr>
      <t xml:space="preserve"> </t>
    </r>
    <r>
      <rPr>
        <sz val="9"/>
        <color theme="1"/>
        <rFont val="맑은 고딕"/>
        <family val="3"/>
        <charset val="129"/>
      </rPr>
      <t>원하는대로</t>
    </r>
    <r>
      <rPr>
        <sz val="9"/>
        <color theme="1"/>
        <rFont val="Calibri"/>
        <family val="2"/>
      </rPr>
      <t xml:space="preserve"> </t>
    </r>
    <r>
      <rPr>
        <sz val="9"/>
        <color theme="1"/>
        <rFont val="맑은 고딕"/>
        <family val="3"/>
        <charset val="129"/>
      </rPr>
      <t>분석을</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phoneticPr fontId="11" type="noConversion"/>
  </si>
  <si>
    <t>Manages the planned schedule and actual schedule of the project.</t>
    <phoneticPr fontId="11" type="noConversion"/>
  </si>
  <si>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일정계획</t>
    </r>
    <r>
      <rPr>
        <sz val="9"/>
        <color theme="1"/>
        <rFont val="Calibri"/>
        <family val="2"/>
      </rPr>
      <t xml:space="preserve"> </t>
    </r>
    <r>
      <rPr>
        <sz val="9"/>
        <color theme="1"/>
        <rFont val="맑은 고딕"/>
        <family val="3"/>
        <charset val="129"/>
      </rPr>
      <t>변경관리</t>
    </r>
    <r>
      <rPr>
        <sz val="9"/>
        <color theme="1"/>
        <rFont val="Calibri"/>
        <family val="2"/>
      </rPr>
      <t>”</t>
    </r>
    <r>
      <rPr>
        <sz val="9"/>
        <color theme="1"/>
        <rFont val="맑은 고딕"/>
        <family val="3"/>
        <charset val="129"/>
      </rPr>
      <t>기능을</t>
    </r>
    <r>
      <rPr>
        <sz val="9"/>
        <color theme="1"/>
        <rFont val="Calibri"/>
        <family val="2"/>
      </rPr>
      <t xml:space="preserve"> </t>
    </r>
    <r>
      <rPr>
        <sz val="9"/>
        <color theme="1"/>
        <rFont val="맑은 고딕"/>
        <family val="3"/>
        <charset val="129"/>
      </rPr>
      <t>이용하여</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실제시작일과</t>
    </r>
    <r>
      <rPr>
        <sz val="9"/>
        <color theme="1"/>
        <rFont val="Calibri"/>
        <family val="2"/>
      </rPr>
      <t xml:space="preserve"> </t>
    </r>
    <r>
      <rPr>
        <sz val="9"/>
        <color theme="1"/>
        <rFont val="맑은 고딕"/>
        <family val="3"/>
        <charset val="129"/>
      </rPr>
      <t>실제완료일을</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시작된</t>
    </r>
    <r>
      <rPr>
        <sz val="9"/>
        <color theme="1"/>
        <rFont val="Calibri"/>
        <family val="2"/>
      </rPr>
      <t xml:space="preserve"> </t>
    </r>
    <r>
      <rPr>
        <sz val="9"/>
        <color theme="1"/>
        <rFont val="맑은 고딕"/>
        <family val="3"/>
        <charset val="129"/>
      </rPr>
      <t>날짜와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완료된</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입력하여</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지연되고</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지</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계획보다</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지</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</si>
  <si>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t>Managing Schedule Changes</t>
  </si>
  <si>
    <r>
      <rPr>
        <sz val="9"/>
        <color theme="1"/>
        <rFont val="맑은 고딕"/>
        <family val="3"/>
        <charset val="129"/>
      </rPr>
      <t>일정변경</t>
    </r>
    <r>
      <rPr>
        <sz val="9"/>
        <color theme="1"/>
        <rFont val="Calibri"/>
        <family val="2"/>
      </rPr>
      <t xml:space="preserve"> </t>
    </r>
    <r>
      <rPr>
        <sz val="9"/>
        <color theme="1"/>
        <rFont val="맑은 고딕"/>
        <family val="3"/>
        <charset val="129"/>
      </rPr>
      <t>관리함</t>
    </r>
    <r>
      <rPr>
        <sz val="9"/>
        <color theme="1"/>
        <rFont val="Calibri"/>
        <family val="2"/>
      </rPr>
      <t>(</t>
    </r>
    <r>
      <rPr>
        <sz val="9"/>
        <color theme="1"/>
        <rFont val="맑은 고딕"/>
        <family val="3"/>
        <charset val="129"/>
      </rPr>
      <t>시작일</t>
    </r>
    <r>
      <rPr>
        <sz val="9"/>
        <color theme="1"/>
        <rFont val="Calibri"/>
        <family val="2"/>
      </rPr>
      <t>/</t>
    </r>
    <r>
      <rPr>
        <sz val="9"/>
        <color theme="1"/>
        <rFont val="맑은 고딕"/>
        <family val="3"/>
        <charset val="129"/>
      </rPr>
      <t>완료일</t>
    </r>
    <r>
      <rPr>
        <sz val="9"/>
        <color theme="1"/>
        <rFont val="Calibri"/>
        <family val="2"/>
      </rPr>
      <t xml:space="preserve">, </t>
    </r>
    <r>
      <rPr>
        <sz val="9"/>
        <color theme="1"/>
        <rFont val="맑은 고딕"/>
        <family val="3"/>
        <charset val="129"/>
      </rPr>
      <t>실제시작일</t>
    </r>
    <r>
      <rPr>
        <sz val="9"/>
        <color theme="1"/>
        <rFont val="Calibri"/>
        <family val="2"/>
      </rPr>
      <t>/</t>
    </r>
    <r>
      <rPr>
        <sz val="9"/>
        <color theme="1"/>
        <rFont val="맑은 고딕"/>
        <family val="3"/>
        <charset val="129"/>
      </rPr>
      <t>실제완료일</t>
    </r>
    <r>
      <rPr>
        <sz val="9"/>
        <color theme="1"/>
        <rFont val="Calibri"/>
        <family val="2"/>
      </rPr>
      <t xml:space="preserve"> </t>
    </r>
    <r>
      <rPr>
        <sz val="9"/>
        <color theme="1"/>
        <rFont val="맑은 고딕"/>
        <family val="3"/>
        <charset val="129"/>
      </rPr>
      <t>사용</t>
    </r>
    <r>
      <rPr>
        <sz val="9"/>
        <color theme="1"/>
        <rFont val="Calibri"/>
        <family val="2"/>
      </rPr>
      <t>)</t>
    </r>
  </si>
  <si>
    <t>Man-Day</t>
  </si>
  <si>
    <t>Man-Month</t>
  </si>
  <si>
    <t>Manual</t>
    <phoneticPr fontId="11" type="noConversion"/>
  </si>
  <si>
    <r>
      <rPr>
        <sz val="9"/>
        <color theme="1"/>
        <rFont val="맑은 고딕"/>
        <family val="3"/>
        <charset val="129"/>
      </rPr>
      <t>수동</t>
    </r>
    <phoneticPr fontId="11" type="noConversion"/>
  </si>
  <si>
    <t>Map &gt;&gt;</t>
  </si>
  <si>
    <t>Mapping &gt;&gt;</t>
  </si>
  <si>
    <t>Mark task as milestone</t>
    <phoneticPr fontId="1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</si>
  <si>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마일스톤으로</t>
    </r>
    <r>
      <rPr>
        <sz val="9"/>
        <color theme="1"/>
        <rFont val="Calibri"/>
        <family val="2"/>
      </rPr>
      <t xml:space="preserve"> </t>
    </r>
    <r>
      <rPr>
        <sz val="9"/>
        <color theme="1"/>
        <rFont val="맑은 고딕"/>
        <family val="3"/>
        <charset val="129"/>
      </rPr>
      <t>지정</t>
    </r>
    <phoneticPr fontId="11" type="noConversion"/>
  </si>
  <si>
    <t>mm/dd/yyyy</t>
  </si>
  <si>
    <t>yyyy/mm/dd</t>
    <phoneticPr fontId="11" type="noConversion"/>
  </si>
  <si>
    <t>mmmm yyyy</t>
  </si>
  <si>
    <r>
      <t>yyyy</t>
    </r>
    <r>
      <rPr>
        <sz val="9"/>
        <color theme="1"/>
        <rFont val="맑은 고딕"/>
        <family val="3"/>
        <charset val="129"/>
      </rPr>
      <t>년</t>
    </r>
    <r>
      <rPr>
        <sz val="9"/>
        <color theme="1"/>
        <rFont val="Calibri"/>
        <family val="2"/>
      </rPr>
      <t xml:space="preserve"> m</t>
    </r>
    <r>
      <rPr>
        <sz val="9"/>
        <color theme="1"/>
        <rFont val="맑은 고딕"/>
        <family val="3"/>
        <charset val="129"/>
      </rPr>
      <t>월</t>
    </r>
  </si>
  <si>
    <t>Mon</t>
  </si>
  <si>
    <r>
      <rPr>
        <sz val="9"/>
        <color theme="1"/>
        <rFont val="맑은 고딕"/>
        <family val="3"/>
        <charset val="129"/>
      </rPr>
      <t>월</t>
    </r>
  </si>
  <si>
    <t>Monthly</t>
  </si>
  <si>
    <r>
      <rPr>
        <sz val="9"/>
        <color theme="1"/>
        <rFont val="맑은 고딕"/>
        <family val="3"/>
        <charset val="129"/>
      </rPr>
      <t>월별</t>
    </r>
  </si>
  <si>
    <t>Monthly view</t>
  </si>
  <si>
    <r>
      <rPr>
        <sz val="9"/>
        <color theme="1"/>
        <rFont val="맑은 고딕"/>
        <family val="3"/>
        <charset val="129"/>
      </rPr>
      <t>월별보기</t>
    </r>
  </si>
  <si>
    <t>Months</t>
  </si>
  <si>
    <t>Multilingual Support</t>
  </si>
  <si>
    <r>
      <rPr>
        <sz val="9"/>
        <color theme="1"/>
        <rFont val="맑은 고딕"/>
        <family val="3"/>
        <charset val="129"/>
      </rPr>
      <t>다국어</t>
    </r>
    <r>
      <rPr>
        <sz val="9"/>
        <color theme="1"/>
        <rFont val="Calibri"/>
        <family val="2"/>
      </rPr>
      <t xml:space="preserve"> </t>
    </r>
    <r>
      <rPr>
        <sz val="9"/>
        <color theme="1"/>
        <rFont val="맑은 고딕"/>
        <family val="3"/>
        <charset val="129"/>
      </rPr>
      <t>지원</t>
    </r>
  </si>
  <si>
    <t>Name of Nonworking Days</t>
  </si>
  <si>
    <r>
      <rPr>
        <sz val="9"/>
        <color theme="1"/>
        <rFont val="맑은 고딕"/>
        <family val="3"/>
        <charset val="129"/>
      </rPr>
      <t>휴무일명</t>
    </r>
  </si>
  <si>
    <t>New Version</t>
  </si>
  <si>
    <r>
      <rPr>
        <sz val="9"/>
        <color theme="1"/>
        <rFont val="맑은 고딕"/>
        <family val="3"/>
        <charset val="129"/>
      </rPr>
      <t>최신</t>
    </r>
    <r>
      <rPr>
        <sz val="9"/>
        <color theme="1"/>
        <rFont val="Calibri"/>
        <family val="2"/>
      </rPr>
      <t xml:space="preserve"> </t>
    </r>
    <r>
      <rPr>
        <sz val="9"/>
        <color theme="1"/>
        <rFont val="맑은 고딕"/>
        <family val="3"/>
        <charset val="129"/>
      </rPr>
      <t>버전</t>
    </r>
  </si>
  <si>
    <t>Next &gt;&gt;</t>
  </si>
  <si>
    <r>
      <rPr>
        <sz val="9"/>
        <color theme="1"/>
        <rFont val="맑은 고딕"/>
        <family val="3"/>
        <charset val="129"/>
      </rPr>
      <t>다음</t>
    </r>
    <r>
      <rPr>
        <sz val="9"/>
        <color theme="1"/>
        <rFont val="Calibri"/>
        <family val="2"/>
      </rPr>
      <t xml:space="preserve"> &gt;&gt;</t>
    </r>
  </si>
  <si>
    <t>No data to import.</t>
    <phoneticPr fontId="11" type="noConversion"/>
  </si>
  <si>
    <r>
      <rPr>
        <sz val="9"/>
        <color theme="1"/>
        <rFont val="맑은 고딕"/>
        <family val="3"/>
        <charset val="129"/>
      </rPr>
      <t>가져올</t>
    </r>
    <r>
      <rPr>
        <sz val="9"/>
        <color theme="1"/>
        <rFont val="Calibri"/>
        <family val="2"/>
      </rPr>
      <t xml:space="preserve"> </t>
    </r>
    <r>
      <rPr>
        <sz val="9"/>
        <color theme="1"/>
        <rFont val="맑은 고딕"/>
        <family val="3"/>
        <charset val="129"/>
      </rPr>
      <t>데이터가</t>
    </r>
    <r>
      <rPr>
        <sz val="9"/>
        <color theme="1"/>
        <rFont val="Calibri"/>
        <family val="2"/>
      </rPr>
      <t xml:space="preserve"> </t>
    </r>
    <r>
      <rPr>
        <sz val="9"/>
        <color theme="1"/>
        <rFont val="맑은 고딕"/>
        <family val="3"/>
        <charset val="129"/>
      </rPr>
      <t>없습니다</t>
    </r>
    <r>
      <rPr>
        <sz val="9"/>
        <color theme="1"/>
        <rFont val="Calibri"/>
        <family val="2"/>
      </rPr>
      <t>.</t>
    </r>
    <phoneticPr fontId="11" type="noConversion"/>
  </si>
  <si>
    <t>No need to enter in the Calendar sheet</t>
  </si>
  <si>
    <r>
      <t>Calendar sheet</t>
    </r>
    <r>
      <rPr>
        <sz val="9"/>
        <color theme="1"/>
        <rFont val="맑은 고딕"/>
        <family val="3"/>
        <charset val="129"/>
      </rPr>
      <t>에</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필요</t>
    </r>
    <r>
      <rPr>
        <sz val="9"/>
        <color theme="1"/>
        <rFont val="Calibri"/>
        <family val="2"/>
      </rPr>
      <t xml:space="preserve"> </t>
    </r>
    <r>
      <rPr>
        <sz val="9"/>
        <color theme="1"/>
        <rFont val="맑은 고딕"/>
        <family val="3"/>
        <charset val="129"/>
      </rPr>
      <t>없음</t>
    </r>
  </si>
  <si>
    <t>No need to enter Saturdays and Sundays in the Calendar sheet</t>
  </si>
  <si>
    <r>
      <rPr>
        <sz val="9"/>
        <color theme="1"/>
        <rFont val="맑은 고딕"/>
        <family val="3"/>
        <charset val="129"/>
      </rPr>
      <t>토요일</t>
    </r>
    <r>
      <rPr>
        <sz val="9"/>
        <color theme="1"/>
        <rFont val="Calibri"/>
        <family val="2"/>
      </rPr>
      <t>,</t>
    </r>
    <r>
      <rPr>
        <sz val="9"/>
        <color theme="1"/>
        <rFont val="맑은 고딕"/>
        <family val="3"/>
        <charset val="129"/>
      </rPr>
      <t>일요일은</t>
    </r>
    <r>
      <rPr>
        <sz val="9"/>
        <color theme="1"/>
        <rFont val="Calibri"/>
        <family val="2"/>
      </rPr>
      <t xml:space="preserve"> Calendar sheet</t>
    </r>
    <r>
      <rPr>
        <sz val="9"/>
        <color theme="1"/>
        <rFont val="맑은 고딕"/>
        <family val="3"/>
        <charset val="129"/>
      </rPr>
      <t>에</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필요</t>
    </r>
    <r>
      <rPr>
        <sz val="9"/>
        <color theme="1"/>
        <rFont val="Calibri"/>
        <family val="2"/>
      </rPr>
      <t xml:space="preserve"> </t>
    </r>
    <r>
      <rPr>
        <sz val="9"/>
        <color theme="1"/>
        <rFont val="맑은 고딕"/>
        <family val="3"/>
        <charset val="129"/>
      </rPr>
      <t>없음</t>
    </r>
    <phoneticPr fontId="11" type="noConversion"/>
  </si>
  <si>
    <t>for Week Number</t>
    <phoneticPr fontId="11" type="noConversion"/>
  </si>
  <si>
    <t>None</t>
    <phoneticPr fontId="11" type="noConversion"/>
  </si>
  <si>
    <r>
      <rPr>
        <sz val="9"/>
        <color theme="1"/>
        <rFont val="맑은 고딕"/>
        <family val="3"/>
        <charset val="129"/>
      </rPr>
      <t>표시</t>
    </r>
    <r>
      <rPr>
        <sz val="9"/>
        <color theme="1"/>
        <rFont val="Calibri"/>
        <family val="2"/>
      </rPr>
      <t xml:space="preserve"> </t>
    </r>
    <r>
      <rPr>
        <sz val="9"/>
        <color theme="1"/>
        <rFont val="맑은 고딕"/>
        <family val="3"/>
        <charset val="129"/>
      </rPr>
      <t>안함</t>
    </r>
    <phoneticPr fontId="11" type="noConversion"/>
  </si>
  <si>
    <t>Nonworking Days</t>
  </si>
  <si>
    <r>
      <rPr>
        <sz val="9"/>
        <color theme="1"/>
        <rFont val="맑은 고딕"/>
        <family val="3"/>
        <charset val="129"/>
      </rPr>
      <t>휴무일자</t>
    </r>
  </si>
  <si>
    <t>Not Completed(&lt;&gt;100%)</t>
  </si>
  <si>
    <r>
      <rPr>
        <sz val="9"/>
        <color theme="1"/>
        <rFont val="맑은 고딕"/>
        <family val="3"/>
        <charset val="129"/>
      </rPr>
      <t>미완료</t>
    </r>
  </si>
  <si>
    <t>Not Managing Schedule Changes</t>
  </si>
  <si>
    <r>
      <rPr>
        <sz val="9"/>
        <color theme="1"/>
        <rFont val="맑은 고딕"/>
        <family val="3"/>
        <charset val="129"/>
      </rPr>
      <t>일정변경</t>
    </r>
    <r>
      <rPr>
        <sz val="9"/>
        <color theme="1"/>
        <rFont val="Calibri"/>
        <family val="2"/>
      </rPr>
      <t xml:space="preserve"> </t>
    </r>
    <r>
      <rPr>
        <sz val="9"/>
        <color theme="1"/>
        <rFont val="맑은 고딕"/>
        <family val="3"/>
        <charset val="129"/>
      </rPr>
      <t>관리</t>
    </r>
    <r>
      <rPr>
        <sz val="9"/>
        <color theme="1"/>
        <rFont val="Calibri"/>
        <family val="2"/>
      </rPr>
      <t xml:space="preserve"> </t>
    </r>
    <r>
      <rPr>
        <sz val="9"/>
        <color theme="1"/>
        <rFont val="맑은 고딕"/>
        <family val="3"/>
        <charset val="129"/>
      </rPr>
      <t>안함</t>
    </r>
    <r>
      <rPr>
        <sz val="9"/>
        <color theme="1"/>
        <rFont val="Calibri"/>
        <family val="2"/>
      </rPr>
      <t>(</t>
    </r>
    <r>
      <rPr>
        <sz val="9"/>
        <color theme="1"/>
        <rFont val="맑은 고딕"/>
        <family val="3"/>
        <charset val="129"/>
      </rPr>
      <t>시작일</t>
    </r>
    <r>
      <rPr>
        <sz val="9"/>
        <color theme="1"/>
        <rFont val="Calibri"/>
        <family val="2"/>
      </rPr>
      <t>/</t>
    </r>
    <r>
      <rPr>
        <sz val="9"/>
        <color theme="1"/>
        <rFont val="맑은 고딕"/>
        <family val="3"/>
        <charset val="129"/>
      </rPr>
      <t>완료일만</t>
    </r>
    <r>
      <rPr>
        <sz val="9"/>
        <color theme="1"/>
        <rFont val="Calibri"/>
        <family val="2"/>
      </rPr>
      <t xml:space="preserve"> </t>
    </r>
    <r>
      <rPr>
        <sz val="9"/>
        <color theme="1"/>
        <rFont val="맑은 고딕"/>
        <family val="3"/>
        <charset val="129"/>
      </rPr>
      <t>사용</t>
    </r>
    <r>
      <rPr>
        <sz val="9"/>
        <color theme="1"/>
        <rFont val="Calibri"/>
        <family val="2"/>
      </rPr>
      <t>)</t>
    </r>
  </si>
  <si>
    <t>Not Specified(Standard Calendar)</t>
  </si>
  <si>
    <r>
      <rPr>
        <sz val="9"/>
        <color theme="1"/>
        <rFont val="맑은 고딕"/>
        <family val="3"/>
        <charset val="129"/>
      </rPr>
      <t>지정하지</t>
    </r>
    <r>
      <rPr>
        <sz val="9"/>
        <color theme="1"/>
        <rFont val="Calibri"/>
        <family val="2"/>
      </rPr>
      <t xml:space="preserve"> </t>
    </r>
    <r>
      <rPr>
        <sz val="9"/>
        <color theme="1"/>
        <rFont val="맑은 고딕"/>
        <family val="3"/>
        <charset val="129"/>
      </rPr>
      <t>않음</t>
    </r>
    <r>
      <rPr>
        <sz val="9"/>
        <color theme="1"/>
        <rFont val="Calibri"/>
        <family val="2"/>
      </rPr>
      <t>(</t>
    </r>
    <r>
      <rPr>
        <sz val="9"/>
        <color theme="1"/>
        <rFont val="맑은 고딕"/>
        <family val="3"/>
        <charset val="129"/>
      </rPr>
      <t>표준캘린더</t>
    </r>
    <r>
      <rPr>
        <sz val="9"/>
        <color theme="1"/>
        <rFont val="Calibri"/>
        <family val="2"/>
      </rPr>
      <t>)</t>
    </r>
  </si>
  <si>
    <t>Note</t>
  </si>
  <si>
    <r>
      <rPr>
        <sz val="9"/>
        <color theme="1"/>
        <rFont val="맑은 고딕"/>
        <family val="3"/>
        <charset val="129"/>
      </rPr>
      <t>비고</t>
    </r>
  </si>
  <si>
    <t>Number of "Task" columns(Max 20)</t>
    <phoneticPr fontId="11" type="noConversion"/>
  </si>
  <si>
    <r>
      <t>"</t>
    </r>
    <r>
      <rPr>
        <sz val="9"/>
        <color theme="1"/>
        <rFont val="맑은 고딕"/>
        <family val="3"/>
        <charset val="129"/>
      </rPr>
      <t>작업</t>
    </r>
    <r>
      <rPr>
        <sz val="9"/>
        <color theme="1"/>
        <rFont val="Calibri"/>
        <family val="2"/>
      </rPr>
      <t>"</t>
    </r>
    <r>
      <rPr>
        <sz val="9"/>
        <color theme="1"/>
        <rFont val="맑은 고딕"/>
        <family val="3"/>
        <charset val="129"/>
      </rPr>
      <t>열의</t>
    </r>
    <r>
      <rPr>
        <sz val="9"/>
        <color theme="1"/>
        <rFont val="Calibri"/>
        <family val="2"/>
      </rPr>
      <t xml:space="preserve"> </t>
    </r>
    <r>
      <rPr>
        <sz val="9"/>
        <color theme="1"/>
        <rFont val="맑은 고딕"/>
        <family val="3"/>
        <charset val="129"/>
      </rPr>
      <t>개수</t>
    </r>
    <r>
      <rPr>
        <sz val="9"/>
        <color theme="1"/>
        <rFont val="Calibri"/>
        <family val="2"/>
      </rPr>
      <t>(</t>
    </r>
    <r>
      <rPr>
        <sz val="9"/>
        <color theme="1"/>
        <rFont val="맑은 고딕"/>
        <family val="3"/>
        <charset val="129"/>
      </rPr>
      <t>최대</t>
    </r>
    <r>
      <rPr>
        <sz val="9"/>
        <color theme="1"/>
        <rFont val="Calibri"/>
        <family val="2"/>
      </rPr>
      <t xml:space="preserve"> 20</t>
    </r>
    <r>
      <rPr>
        <sz val="9"/>
        <color theme="1"/>
        <rFont val="맑은 고딕"/>
        <family val="3"/>
        <charset val="129"/>
      </rPr>
      <t>개</t>
    </r>
    <r>
      <rPr>
        <sz val="9"/>
        <color theme="1"/>
        <rFont val="Calibri"/>
        <family val="2"/>
      </rPr>
      <t>)</t>
    </r>
    <phoneticPr fontId="11" type="noConversion"/>
  </si>
  <si>
    <t>Of the first two rows, at least one has been deleted. Please retry after changing the sheet to its previous state.</t>
  </si>
  <si>
    <r>
      <t>1~2</t>
    </r>
    <r>
      <rPr>
        <sz val="9"/>
        <color theme="1"/>
        <rFont val="맑은 고딕"/>
        <family val="3"/>
        <charset val="129"/>
      </rPr>
      <t>행</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한</t>
    </r>
    <r>
      <rPr>
        <sz val="9"/>
        <color theme="1"/>
        <rFont val="Calibri"/>
        <family val="2"/>
      </rPr>
      <t xml:space="preserve"> </t>
    </r>
    <r>
      <rPr>
        <sz val="9"/>
        <color theme="1"/>
        <rFont val="맑은 고딕"/>
        <family val="3"/>
        <charset val="129"/>
      </rPr>
      <t>행이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작업하십시오</t>
    </r>
    <r>
      <rPr>
        <sz val="9"/>
        <color theme="1"/>
        <rFont val="Calibri"/>
        <family val="2"/>
      </rPr>
      <t>.</t>
    </r>
  </si>
  <si>
    <t>On schedule</t>
    <phoneticPr fontId="11" type="noConversion"/>
  </si>
  <si>
    <r>
      <rPr>
        <sz val="9"/>
        <color theme="1"/>
        <rFont val="맑은 고딕"/>
        <family val="3"/>
        <charset val="129"/>
      </rPr>
      <t>일정</t>
    </r>
    <r>
      <rPr>
        <sz val="9"/>
        <color theme="1"/>
        <rFont val="Calibri"/>
        <family val="2"/>
      </rPr>
      <t xml:space="preserve"> </t>
    </r>
    <r>
      <rPr>
        <sz val="9"/>
        <color theme="1"/>
        <rFont val="맑은 고딕"/>
        <family val="3"/>
        <charset val="129"/>
      </rPr>
      <t>준수</t>
    </r>
    <phoneticPr fontId="11" type="noConversion"/>
  </si>
  <si>
    <t>Once you choose "Display the task name in the same field" option, you should select a WBS No. or a WBS Level field.</t>
  </si>
  <si>
    <r>
      <t>"</t>
    </r>
    <r>
      <rPr>
        <sz val="9"/>
        <color theme="1"/>
        <rFont val="맑은 고딕"/>
        <family val="3"/>
        <charset val="129"/>
      </rPr>
      <t>같은</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선택했으면</t>
    </r>
    <r>
      <rPr>
        <sz val="9"/>
        <color theme="1"/>
        <rFont val="Calibri"/>
        <family val="2"/>
      </rPr>
      <t xml:space="preserve"> WBS No. </t>
    </r>
    <r>
      <rPr>
        <sz val="9"/>
        <color theme="1"/>
        <rFont val="맑은 고딕"/>
        <family val="3"/>
        <charset val="129"/>
      </rPr>
      <t>또는</t>
    </r>
    <r>
      <rPr>
        <sz val="9"/>
        <color theme="1"/>
        <rFont val="Calibri"/>
        <family val="2"/>
      </rPr>
      <t xml:space="preserve"> </t>
    </r>
    <r>
      <rPr>
        <sz val="9"/>
        <color theme="1"/>
        <rFont val="맑은 고딕"/>
        <family val="3"/>
        <charset val="129"/>
      </rPr>
      <t>개요수준</t>
    </r>
    <r>
      <rPr>
        <sz val="9"/>
        <color theme="1"/>
        <rFont val="Calibri"/>
        <family val="2"/>
      </rPr>
      <t xml:space="preserve">(WBS Level) </t>
    </r>
    <r>
      <rPr>
        <sz val="9"/>
        <color theme="1"/>
        <rFont val="맑은 고딕"/>
        <family val="3"/>
        <charset val="129"/>
      </rPr>
      <t>필드</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하나는</t>
    </r>
    <r>
      <rPr>
        <sz val="9"/>
        <color theme="1"/>
        <rFont val="Calibri"/>
        <family val="2"/>
      </rPr>
      <t xml:space="preserve"> </t>
    </r>
    <r>
      <rPr>
        <sz val="9"/>
        <color theme="1"/>
        <rFont val="맑은 고딕"/>
        <family val="3"/>
        <charset val="129"/>
      </rPr>
      <t>선택되어야</t>
    </r>
    <r>
      <rPr>
        <sz val="9"/>
        <color theme="1"/>
        <rFont val="Calibri"/>
        <family val="2"/>
      </rPr>
      <t xml:space="preserve"> </t>
    </r>
    <r>
      <rPr>
        <sz val="9"/>
        <color theme="1"/>
        <rFont val="맑은 고딕"/>
        <family val="3"/>
        <charset val="129"/>
      </rPr>
      <t>합니다</t>
    </r>
  </si>
  <si>
    <t>Only Saturdays and Sundays</t>
  </si>
  <si>
    <r>
      <rPr>
        <sz val="9"/>
        <color theme="1"/>
        <rFont val="맑은 고딕"/>
        <family val="3"/>
        <charset val="129"/>
      </rPr>
      <t>토요일</t>
    </r>
    <r>
      <rPr>
        <sz val="9"/>
        <color theme="1"/>
        <rFont val="Calibri"/>
        <family val="2"/>
      </rPr>
      <t>,</t>
    </r>
    <r>
      <rPr>
        <sz val="9"/>
        <color theme="1"/>
        <rFont val="맑은 고딕"/>
        <family val="3"/>
        <charset val="129"/>
      </rPr>
      <t>일요일만</t>
    </r>
    <phoneticPr fontId="11" type="noConversion"/>
  </si>
  <si>
    <t>Only the dates entered in the Calendar sheet</t>
  </si>
  <si>
    <r>
      <t>Calendar sheet</t>
    </r>
    <r>
      <rPr>
        <sz val="9"/>
        <color theme="1"/>
        <rFont val="맑은 고딕"/>
        <family val="3"/>
        <charset val="129"/>
      </rPr>
      <t>에</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날짜만</t>
    </r>
    <phoneticPr fontId="11" type="noConversion"/>
  </si>
  <si>
    <t>Open Deliverables</t>
  </si>
  <si>
    <r>
      <rPr>
        <sz val="9"/>
        <color theme="1"/>
        <rFont val="맑은 고딕"/>
        <family val="3"/>
        <charset val="129"/>
      </rPr>
      <t>산출물</t>
    </r>
    <r>
      <rPr>
        <sz val="9"/>
        <color theme="1"/>
        <rFont val="Calibri"/>
        <family val="2"/>
      </rPr>
      <t xml:space="preserve"> </t>
    </r>
    <r>
      <rPr>
        <sz val="9"/>
        <color theme="1"/>
        <rFont val="맑은 고딕"/>
        <family val="3"/>
        <charset val="129"/>
      </rPr>
      <t>열기</t>
    </r>
  </si>
  <si>
    <t>Open Deliverables Folder</t>
  </si>
  <si>
    <r>
      <rPr>
        <sz val="9"/>
        <color theme="1"/>
        <rFont val="맑은 고딕"/>
        <family val="3"/>
        <charset val="129"/>
      </rPr>
      <t>산출물</t>
    </r>
    <r>
      <rPr>
        <sz val="9"/>
        <color theme="1"/>
        <rFont val="Calibri"/>
        <family val="2"/>
      </rPr>
      <t xml:space="preserve"> </t>
    </r>
    <r>
      <rPr>
        <sz val="9"/>
        <color theme="1"/>
        <rFont val="맑은 고딕"/>
        <family val="3"/>
        <charset val="129"/>
      </rPr>
      <t>폴더</t>
    </r>
    <r>
      <rPr>
        <sz val="9"/>
        <color theme="1"/>
        <rFont val="Calibri"/>
        <family val="2"/>
      </rPr>
      <t xml:space="preserve"> </t>
    </r>
    <r>
      <rPr>
        <sz val="9"/>
        <color theme="1"/>
        <rFont val="맑은 고딕"/>
        <family val="3"/>
        <charset val="129"/>
      </rPr>
      <t>열기</t>
    </r>
  </si>
  <si>
    <t>Options</t>
  </si>
  <si>
    <r>
      <rPr>
        <sz val="9"/>
        <color theme="1"/>
        <rFont val="맑은 고딕"/>
        <family val="3"/>
        <charset val="129"/>
      </rPr>
      <t>옵션</t>
    </r>
  </si>
  <si>
    <t>Outdent Task</t>
  </si>
  <si>
    <r>
      <rPr>
        <sz val="9"/>
        <color theme="1"/>
        <rFont val="맑은 고딕"/>
        <family val="3"/>
        <charset val="129"/>
      </rPr>
      <t>작업레벨</t>
    </r>
    <r>
      <rPr>
        <sz val="9"/>
        <color theme="1"/>
        <rFont val="Calibri"/>
        <family val="2"/>
      </rPr>
      <t xml:space="preserve"> </t>
    </r>
    <r>
      <rPr>
        <sz val="9"/>
        <color theme="1"/>
        <rFont val="맑은 고딕"/>
        <family val="3"/>
        <charset val="129"/>
      </rPr>
      <t>올림</t>
    </r>
  </si>
  <si>
    <t>Outline Level</t>
  </si>
  <si>
    <r>
      <rPr>
        <sz val="9"/>
        <color theme="1"/>
        <rFont val="맑은 고딕"/>
        <family val="3"/>
        <charset val="129"/>
      </rPr>
      <t>개요수준</t>
    </r>
  </si>
  <si>
    <t xml:space="preserve">Percent </t>
  </si>
  <si>
    <r>
      <rPr>
        <sz val="9"/>
        <color theme="1"/>
        <rFont val="맑은 고딕"/>
        <family val="3"/>
        <charset val="129"/>
      </rPr>
      <t>퍼센트</t>
    </r>
    <r>
      <rPr>
        <sz val="9"/>
        <color theme="1"/>
        <rFont val="Calibri"/>
        <family val="2"/>
      </rPr>
      <t xml:space="preserve"> </t>
    </r>
    <r>
      <rPr>
        <sz val="9"/>
        <color theme="1"/>
        <rFont val="맑은 고딕"/>
        <family val="3"/>
        <charset val="129"/>
      </rPr>
      <t>지정</t>
    </r>
  </si>
  <si>
    <t>Pick a Date</t>
  </si>
  <si>
    <r>
      <rPr>
        <sz val="9"/>
        <color theme="1"/>
        <rFont val="맑은 고딕"/>
        <family val="3"/>
        <charset val="129"/>
      </rPr>
      <t>날짜</t>
    </r>
    <r>
      <rPr>
        <sz val="9"/>
        <color theme="1"/>
        <rFont val="Calibri"/>
        <family val="2"/>
      </rPr>
      <t xml:space="preserve"> </t>
    </r>
    <r>
      <rPr>
        <sz val="9"/>
        <color theme="1"/>
        <rFont val="맑은 고딕"/>
        <family val="3"/>
        <charset val="129"/>
      </rPr>
      <t>선택</t>
    </r>
  </si>
  <si>
    <t>Plan</t>
    <phoneticPr fontId="11" type="noConversion"/>
  </si>
  <si>
    <r>
      <rPr>
        <sz val="9"/>
        <color theme="1"/>
        <rFont val="맑은 고딕"/>
        <family val="3"/>
        <charset val="129"/>
      </rPr>
      <t>계획</t>
    </r>
    <phoneticPr fontId="11" type="noConversion"/>
  </si>
  <si>
    <t>Planned %Work Complete</t>
  </si>
  <si>
    <r>
      <rPr>
        <sz val="9"/>
        <color theme="1"/>
        <rFont val="맑은 고딕"/>
        <family val="3"/>
        <charset val="129"/>
      </rPr>
      <t>계획진척율</t>
    </r>
    <phoneticPr fontId="11" type="noConversion"/>
  </si>
  <si>
    <t>Planned %Work Complete calculation base date</t>
  </si>
  <si>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t>
    </r>
    <phoneticPr fontId="11" type="noConversion"/>
  </si>
  <si>
    <t>Planned %Work Complete from the start date to the current date</t>
  </si>
  <si>
    <r>
      <rPr>
        <sz val="9"/>
        <color theme="1"/>
        <rFont val="맑은 고딕"/>
        <family val="3"/>
        <charset val="129"/>
      </rPr>
      <t>현재날짜까지</t>
    </r>
    <r>
      <rPr>
        <sz val="9"/>
        <color theme="1"/>
        <rFont val="Calibri"/>
        <family val="2"/>
      </rPr>
      <t xml:space="preserve"> </t>
    </r>
    <r>
      <rPr>
        <sz val="9"/>
        <color theme="1"/>
        <rFont val="맑은 고딕"/>
        <family val="3"/>
        <charset val="129"/>
      </rPr>
      <t>계획된</t>
    </r>
    <r>
      <rPr>
        <sz val="9"/>
        <color theme="1"/>
        <rFont val="Calibri"/>
        <family val="2"/>
      </rPr>
      <t xml:space="preserve"> </t>
    </r>
    <r>
      <rPr>
        <sz val="9"/>
        <color theme="1"/>
        <rFont val="맑은 고딕"/>
        <family val="3"/>
        <charset val="129"/>
      </rPr>
      <t>진척율</t>
    </r>
    <r>
      <rPr>
        <sz val="9"/>
        <color theme="1"/>
        <rFont val="Calibri"/>
        <family val="2"/>
      </rPr>
      <t>, WBS</t>
    </r>
    <r>
      <rPr>
        <sz val="9"/>
        <color theme="1"/>
        <rFont val="맑은 고딕"/>
        <family val="3"/>
        <charset val="129"/>
      </rPr>
      <t>의</t>
    </r>
    <r>
      <rPr>
        <sz val="9"/>
        <color theme="1"/>
        <rFont val="Calibri"/>
        <family val="2"/>
      </rPr>
      <t xml:space="preserve"> "</t>
    </r>
    <r>
      <rPr>
        <sz val="9"/>
        <color theme="1"/>
        <rFont val="맑은 고딕"/>
        <family val="3"/>
        <charset val="129"/>
      </rPr>
      <t>계획진척율</t>
    </r>
    <r>
      <rPr>
        <sz val="9"/>
        <color theme="1"/>
        <rFont val="Calibri"/>
        <family val="2"/>
      </rPr>
      <t>"</t>
    </r>
    <r>
      <rPr>
        <sz val="9"/>
        <color theme="1"/>
        <rFont val="맑은 고딕"/>
        <family val="3"/>
        <charset val="129"/>
      </rPr>
      <t>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합계</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표시함</t>
    </r>
  </si>
  <si>
    <t>Planned %Work Complete(A)</t>
  </si>
  <si>
    <r>
      <rPr>
        <sz val="9"/>
        <color theme="1"/>
        <rFont val="맑은 고딕"/>
        <family val="3"/>
        <charset val="129"/>
      </rPr>
      <t>계획</t>
    </r>
    <r>
      <rPr>
        <sz val="9"/>
        <color theme="1"/>
        <rFont val="Calibri"/>
        <family val="2"/>
      </rPr>
      <t xml:space="preserve"> </t>
    </r>
    <r>
      <rPr>
        <sz val="9"/>
        <color theme="1"/>
        <rFont val="맑은 고딕"/>
        <family val="3"/>
        <charset val="129"/>
      </rPr>
      <t>진척율</t>
    </r>
    <r>
      <rPr>
        <sz val="9"/>
        <color theme="1"/>
        <rFont val="Calibri"/>
        <family val="2"/>
      </rPr>
      <t>(A)</t>
    </r>
  </si>
  <si>
    <t>Planned %Work Complete(B/A)</t>
  </si>
  <si>
    <r>
      <rPr>
        <sz val="9"/>
        <color theme="1"/>
        <rFont val="맑은 고딕"/>
        <family val="3"/>
        <charset val="129"/>
      </rPr>
      <t>계획</t>
    </r>
    <r>
      <rPr>
        <sz val="9"/>
        <color theme="1"/>
        <rFont val="Calibri"/>
        <family val="2"/>
      </rPr>
      <t>(B/A)</t>
    </r>
  </si>
  <si>
    <t>Planned Duration</t>
  </si>
  <si>
    <r>
      <rPr>
        <sz val="9"/>
        <color theme="1"/>
        <rFont val="맑은 고딕"/>
        <family val="3"/>
        <charset val="129"/>
      </rPr>
      <t>계획기간</t>
    </r>
  </si>
  <si>
    <t>Planned Progress</t>
  </si>
  <si>
    <r>
      <rPr>
        <sz val="9"/>
        <color theme="1"/>
        <rFont val="맑은 고딕"/>
        <family val="3"/>
        <charset val="129"/>
      </rPr>
      <t>계획진척율</t>
    </r>
  </si>
  <si>
    <t>Planned Work</t>
  </si>
  <si>
    <r>
      <rPr>
        <sz val="9"/>
        <color theme="1"/>
        <rFont val="맑은 고딕"/>
        <family val="3"/>
        <charset val="129"/>
      </rPr>
      <t>계획작업량</t>
    </r>
  </si>
  <si>
    <t>Planned Work(B)\nMan-day</t>
  </si>
  <si>
    <r>
      <rPr>
        <sz val="9"/>
        <color theme="1"/>
        <rFont val="맑은 고딕"/>
        <family val="3"/>
        <charset val="129"/>
      </rPr>
      <t>계획작업량</t>
    </r>
    <r>
      <rPr>
        <sz val="9"/>
        <color theme="1"/>
        <rFont val="Calibri"/>
        <family val="2"/>
      </rPr>
      <t>(B)\nMan-day</t>
    </r>
  </si>
  <si>
    <t>Planned Work\n(ManDay to Today)</t>
  </si>
  <si>
    <r>
      <rPr>
        <sz val="9"/>
        <color theme="1"/>
        <rFont val="맑은 고딕"/>
        <family val="3"/>
        <charset val="129"/>
      </rPr>
      <t>계획</t>
    </r>
    <r>
      <rPr>
        <sz val="9"/>
        <color theme="1"/>
        <rFont val="Calibri"/>
        <family val="2"/>
      </rPr>
      <t xml:space="preserve"> </t>
    </r>
    <r>
      <rPr>
        <sz val="9"/>
        <color theme="1"/>
        <rFont val="맑은 고딕"/>
        <family val="3"/>
        <charset val="129"/>
      </rPr>
      <t xml:space="preserve">작업량_x000D_
</t>
    </r>
    <r>
      <rPr>
        <sz val="9"/>
        <color theme="1"/>
        <rFont val="Calibri"/>
        <family val="2"/>
      </rPr>
      <t>(</t>
    </r>
    <r>
      <rPr>
        <sz val="9"/>
        <color theme="1"/>
        <rFont val="맑은 고딕"/>
        <family val="3"/>
        <charset val="129"/>
      </rPr>
      <t>현재일까지</t>
    </r>
    <r>
      <rPr>
        <sz val="9"/>
        <color theme="1"/>
        <rFont val="Calibri"/>
        <family val="2"/>
      </rPr>
      <t xml:space="preserve">ManDay,_x000D_
</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</si>
  <si>
    <t>Planned workload</t>
  </si>
  <si>
    <r>
      <rPr>
        <sz val="9"/>
        <color theme="1"/>
        <rFont val="맑은 고딕"/>
        <family val="3"/>
        <charset val="129"/>
      </rPr>
      <t>현재일까지</t>
    </r>
    <r>
      <rPr>
        <sz val="9"/>
        <color theme="1"/>
        <rFont val="Calibri"/>
        <family val="2"/>
      </rPr>
      <t xml:space="preserve"> </t>
    </r>
    <r>
      <rPr>
        <sz val="9"/>
        <color theme="1"/>
        <rFont val="맑은 고딕"/>
        <family val="3"/>
        <charset val="129"/>
      </rPr>
      <t>계획된</t>
    </r>
    <r>
      <rPr>
        <sz val="9"/>
        <color theme="1"/>
        <rFont val="Calibri"/>
        <family val="2"/>
      </rPr>
      <t xml:space="preserve"> </t>
    </r>
    <r>
      <rPr>
        <sz val="9"/>
        <color theme="1"/>
        <rFont val="맑은 고딕"/>
        <family val="3"/>
        <charset val="129"/>
      </rPr>
      <t>작업량</t>
    </r>
  </si>
  <si>
    <t>Planned Workload Accumulated(Man-Day)</t>
    <phoneticPr fontId="11" type="noConversion"/>
  </si>
  <si>
    <r>
      <rPr>
        <sz val="9"/>
        <color theme="1"/>
        <rFont val="맑은 고딕"/>
        <family val="3"/>
        <charset val="129"/>
      </rPr>
      <t>계획작업량</t>
    </r>
    <r>
      <rPr>
        <sz val="9"/>
        <color theme="1"/>
        <rFont val="Calibri"/>
        <family val="2"/>
      </rPr>
      <t xml:space="preserve"> </t>
    </r>
    <r>
      <rPr>
        <sz val="9"/>
        <color theme="1"/>
        <rFont val="맑은 고딕"/>
        <family val="3"/>
        <charset val="129"/>
      </rPr>
      <t>누적</t>
    </r>
    <r>
      <rPr>
        <sz val="9"/>
        <color theme="1"/>
        <rFont val="Calibri"/>
        <family val="2"/>
      </rPr>
      <t>(Man-Day)</t>
    </r>
    <phoneticPr fontId="11" type="noConversion"/>
  </si>
  <si>
    <t>Planned workload from the start date to the current date</t>
  </si>
  <si>
    <r>
      <rPr>
        <sz val="9"/>
        <color theme="1"/>
        <rFont val="맑은 고딕"/>
        <family val="3"/>
        <charset val="129"/>
      </rPr>
      <t>해당작업의</t>
    </r>
    <r>
      <rPr>
        <sz val="9"/>
        <color theme="1"/>
        <rFont val="Calibri"/>
        <family val="2"/>
      </rPr>
      <t xml:space="preserve"> </t>
    </r>
    <r>
      <rPr>
        <sz val="9"/>
        <color theme="1"/>
        <rFont val="맑은 고딕"/>
        <family val="3"/>
        <charset val="129"/>
      </rPr>
      <t>시작일부터</t>
    </r>
    <r>
      <rPr>
        <sz val="9"/>
        <color theme="1"/>
        <rFont val="Calibri"/>
        <family val="2"/>
      </rPr>
      <t xml:space="preserve"> </t>
    </r>
    <r>
      <rPr>
        <sz val="9"/>
        <color theme="1"/>
        <rFont val="맑은 고딕"/>
        <family val="3"/>
        <charset val="129"/>
      </rPr>
      <t>현재일까지의</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의미함</t>
    </r>
    <r>
      <rPr>
        <sz val="9"/>
        <color theme="1"/>
        <rFont val="Calibri"/>
        <family val="2"/>
      </rPr>
      <t>(</t>
    </r>
    <r>
      <rPr>
        <sz val="9"/>
        <color theme="1"/>
        <rFont val="맑은 고딕"/>
        <family val="3"/>
        <charset val="129"/>
      </rPr>
      <t>현재</t>
    </r>
    <r>
      <rPr>
        <sz val="9"/>
        <color theme="1"/>
        <rFont val="Calibri"/>
        <family val="2"/>
      </rPr>
      <t xml:space="preserve"> </t>
    </r>
    <r>
      <rPr>
        <sz val="9"/>
        <color theme="1"/>
        <rFont val="맑은 고딕"/>
        <family val="3"/>
        <charset val="129"/>
      </rPr>
      <t>날짜까지</t>
    </r>
    <r>
      <rPr>
        <sz val="9"/>
        <color theme="1"/>
        <rFont val="Calibri"/>
        <family val="2"/>
      </rPr>
      <t xml:space="preserve"> </t>
    </r>
    <r>
      <rPr>
        <sz val="9"/>
        <color theme="1"/>
        <rFont val="맑은 고딕"/>
        <family val="3"/>
        <charset val="129"/>
      </rPr>
      <t>진행되었어야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기간</t>
    </r>
    <r>
      <rPr>
        <sz val="9"/>
        <color theme="1"/>
        <rFont val="Calibri"/>
        <family val="2"/>
      </rPr>
      <t>)</t>
    </r>
  </si>
  <si>
    <t>Planned Workload Progress</t>
    <phoneticPr fontId="11" type="noConversion"/>
  </si>
  <si>
    <r>
      <rPr>
        <sz val="9"/>
        <color theme="1"/>
        <rFont val="맑은 고딕"/>
        <family val="3"/>
        <charset val="129"/>
      </rPr>
      <t>계획작업량</t>
    </r>
    <r>
      <rPr>
        <sz val="9"/>
        <color theme="1"/>
        <rFont val="Calibri"/>
        <family val="2"/>
      </rPr>
      <t xml:space="preserve"> </t>
    </r>
    <r>
      <rPr>
        <sz val="9"/>
        <color theme="1"/>
        <rFont val="맑은 고딕"/>
        <family val="3"/>
        <charset val="129"/>
      </rPr>
      <t>진척율</t>
    </r>
    <phoneticPr fontId="11" type="noConversion"/>
  </si>
  <si>
    <t>Planned Workload(Man-Day)</t>
    <phoneticPr fontId="11" type="noConversion"/>
  </si>
  <si>
    <r>
      <rPr>
        <sz val="9"/>
        <color theme="1"/>
        <rFont val="맑은 고딕"/>
        <family val="3"/>
        <charset val="129"/>
      </rPr>
      <t>계획작업량</t>
    </r>
    <r>
      <rPr>
        <sz val="9"/>
        <color theme="1"/>
        <rFont val="Calibri"/>
        <family val="2"/>
      </rPr>
      <t>(Man-Day)</t>
    </r>
    <phoneticPr fontId="11" type="noConversion"/>
  </si>
  <si>
    <t>Planned__%Work Complete</t>
    <phoneticPr fontId="13" type="noConversion"/>
  </si>
  <si>
    <r>
      <rPr>
        <sz val="9"/>
        <color theme="1"/>
        <rFont val="맑은 고딕"/>
        <family val="3"/>
        <charset val="129"/>
      </rPr>
      <t>계획</t>
    </r>
  </si>
  <si>
    <t>Planned__Duration</t>
    <phoneticPr fontId="13" type="noConversion"/>
  </si>
  <si>
    <r>
      <rPr>
        <sz val="9"/>
        <color theme="1"/>
        <rFont val="맑은 고딕"/>
        <family val="3"/>
        <charset val="129"/>
      </rPr>
      <t>계획</t>
    </r>
    <r>
      <rPr>
        <sz val="9"/>
        <color theme="1"/>
        <rFont val="Calibri"/>
        <family val="2"/>
      </rPr>
      <t>__</t>
    </r>
    <r>
      <rPr>
        <sz val="9"/>
        <color theme="1"/>
        <rFont val="맑은 고딕"/>
        <family val="3"/>
        <charset val="129"/>
      </rPr>
      <t>기간</t>
    </r>
    <phoneticPr fontId="13" type="noConversion"/>
  </si>
  <si>
    <t>Planned__Work</t>
    <phoneticPr fontId="13" type="noConversion"/>
  </si>
  <si>
    <r>
      <rPr>
        <sz val="9"/>
        <color theme="1"/>
        <rFont val="맑은 고딕"/>
        <family val="3"/>
        <charset val="129"/>
      </rPr>
      <t>계획</t>
    </r>
    <r>
      <rPr>
        <sz val="9"/>
        <color theme="1"/>
        <rFont val="Calibri"/>
        <family val="2"/>
      </rPr>
      <t>__</t>
    </r>
    <r>
      <rPr>
        <sz val="9"/>
        <color theme="1"/>
        <rFont val="맑은 고딕"/>
        <family val="3"/>
        <charset val="129"/>
      </rPr>
      <t>작업량</t>
    </r>
    <phoneticPr fontId="13" type="noConversion"/>
  </si>
  <si>
    <t>Planned\n%Work Complete</t>
  </si>
  <si>
    <t>Planned\nDuration</t>
  </si>
  <si>
    <r>
      <rPr>
        <sz val="9"/>
        <color theme="1"/>
        <rFont val="맑은 고딕"/>
        <family val="3"/>
        <charset val="129"/>
      </rPr>
      <t>계획</t>
    </r>
    <r>
      <rPr>
        <sz val="9"/>
        <color theme="1"/>
        <rFont val="Calibri"/>
        <family val="2"/>
      </rPr>
      <t>\n</t>
    </r>
    <r>
      <rPr>
        <sz val="9"/>
        <color theme="1"/>
        <rFont val="맑은 고딕"/>
        <family val="3"/>
        <charset val="129"/>
      </rPr>
      <t>기간</t>
    </r>
  </si>
  <si>
    <t>Planned\nWork</t>
  </si>
  <si>
    <r>
      <rPr>
        <sz val="9"/>
        <color theme="1"/>
        <rFont val="맑은 고딕"/>
        <family val="3"/>
        <charset val="129"/>
      </rPr>
      <t>계획</t>
    </r>
    <r>
      <rPr>
        <sz val="9"/>
        <color theme="1"/>
        <rFont val="Calibri"/>
        <family val="2"/>
      </rPr>
      <t>\n</t>
    </r>
    <r>
      <rPr>
        <sz val="9"/>
        <color theme="1"/>
        <rFont val="맑은 고딕"/>
        <family val="3"/>
        <charset val="129"/>
      </rPr>
      <t>작업량</t>
    </r>
  </si>
  <si>
    <t>Please choose a type of the task field.</t>
  </si>
  <si>
    <r>
      <rPr>
        <sz val="9"/>
        <color theme="1"/>
        <rFont val="맑은 고딕"/>
        <family val="3"/>
        <charset val="129"/>
      </rPr>
      <t>작업필드의</t>
    </r>
    <r>
      <rPr>
        <sz val="9"/>
        <color theme="1"/>
        <rFont val="Calibri"/>
        <family val="2"/>
      </rPr>
      <t xml:space="preserve"> </t>
    </r>
    <r>
      <rPr>
        <sz val="9"/>
        <color theme="1"/>
        <rFont val="맑은 고딕"/>
        <family val="3"/>
        <charset val="129"/>
      </rPr>
      <t>유형을</t>
    </r>
    <r>
      <rPr>
        <sz val="9"/>
        <color theme="1"/>
        <rFont val="Calibri"/>
        <family val="2"/>
      </rPr>
      <t xml:space="preserve"> </t>
    </r>
    <r>
      <rPr>
        <sz val="9"/>
        <color theme="1"/>
        <rFont val="맑은 고딕"/>
        <family val="3"/>
        <charset val="129"/>
      </rPr>
      <t>선택하세요</t>
    </r>
    <r>
      <rPr>
        <sz val="9"/>
        <color theme="1"/>
        <rFont val="Calibri"/>
        <family val="2"/>
      </rPr>
      <t>.</t>
    </r>
  </si>
  <si>
    <t>Please enter the extension.</t>
  </si>
  <si>
    <r>
      <rPr>
        <sz val="9"/>
        <color theme="1"/>
        <rFont val="맑은 고딕"/>
        <family val="3"/>
        <charset val="129"/>
      </rPr>
      <t>확장자명을</t>
    </r>
    <r>
      <rPr>
        <sz val="9"/>
        <color theme="1"/>
        <rFont val="Calibri"/>
        <family val="2"/>
      </rPr>
      <t xml:space="preserve"> </t>
    </r>
    <r>
      <rPr>
        <sz val="9"/>
        <color theme="1"/>
        <rFont val="맑은 고딕"/>
        <family val="3"/>
        <charset val="129"/>
      </rPr>
      <t>입력하세요</t>
    </r>
    <r>
      <rPr>
        <sz val="9"/>
        <color theme="1"/>
        <rFont val="Calibri"/>
        <family val="2"/>
      </rPr>
      <t>.</t>
    </r>
  </si>
  <si>
    <t>Please enter the path where deliverables are saved.</t>
  </si>
  <si>
    <r>
      <rPr>
        <sz val="9"/>
        <color theme="1"/>
        <rFont val="맑은 고딕"/>
        <family val="3"/>
        <charset val="129"/>
      </rPr>
      <t>산출물이</t>
    </r>
    <r>
      <rPr>
        <sz val="9"/>
        <color theme="1"/>
        <rFont val="Calibri"/>
        <family val="2"/>
      </rPr>
      <t xml:space="preserve"> </t>
    </r>
    <r>
      <rPr>
        <sz val="9"/>
        <color theme="1"/>
        <rFont val="맑은 고딕"/>
        <family val="3"/>
        <charset val="129"/>
      </rPr>
      <t>저장될</t>
    </r>
    <r>
      <rPr>
        <sz val="9"/>
        <color theme="1"/>
        <rFont val="Calibri"/>
        <family val="2"/>
      </rPr>
      <t xml:space="preserve"> </t>
    </r>
    <r>
      <rPr>
        <sz val="9"/>
        <color theme="1"/>
        <rFont val="맑은 고딕"/>
        <family val="3"/>
        <charset val="129"/>
      </rPr>
      <t>특정경로를</t>
    </r>
    <r>
      <rPr>
        <sz val="9"/>
        <color theme="1"/>
        <rFont val="Calibri"/>
        <family val="2"/>
      </rPr>
      <t xml:space="preserve"> </t>
    </r>
    <r>
      <rPr>
        <sz val="9"/>
        <color theme="1"/>
        <rFont val="맑은 고딕"/>
        <family val="3"/>
        <charset val="129"/>
      </rPr>
      <t>입력하세요</t>
    </r>
    <r>
      <rPr>
        <sz val="9"/>
        <color theme="1"/>
        <rFont val="Calibri"/>
        <family val="2"/>
      </rPr>
      <t>.</t>
    </r>
  </si>
  <si>
    <t>Please enter the program execution path.</t>
  </si>
  <si>
    <r>
      <rPr>
        <sz val="9"/>
        <color theme="1"/>
        <rFont val="맑은 고딕"/>
        <family val="3"/>
        <charset val="129"/>
      </rPr>
      <t>프로그램</t>
    </r>
    <r>
      <rPr>
        <sz val="9"/>
        <color theme="1"/>
        <rFont val="Calibri"/>
        <family val="2"/>
      </rPr>
      <t xml:space="preserve"> </t>
    </r>
    <r>
      <rPr>
        <sz val="9"/>
        <color theme="1"/>
        <rFont val="맑은 고딕"/>
        <family val="3"/>
        <charset val="129"/>
      </rPr>
      <t>실행경로를</t>
    </r>
    <r>
      <rPr>
        <sz val="9"/>
        <color theme="1"/>
        <rFont val="Calibri"/>
        <family val="2"/>
      </rPr>
      <t xml:space="preserve"> </t>
    </r>
    <r>
      <rPr>
        <sz val="9"/>
        <color theme="1"/>
        <rFont val="맑은 고딕"/>
        <family val="3"/>
        <charset val="129"/>
      </rPr>
      <t>입력하세요</t>
    </r>
    <r>
      <rPr>
        <sz val="9"/>
        <color theme="1"/>
        <rFont val="Calibri"/>
        <family val="2"/>
      </rPr>
      <t>.</t>
    </r>
  </si>
  <si>
    <t>Please set project calendars in this sheet.</t>
  </si>
  <si>
    <r>
      <rPr>
        <sz val="9"/>
        <color theme="1"/>
        <rFont val="맑은 고딕"/>
        <family val="3"/>
        <charset val="129"/>
      </rPr>
      <t>이</t>
    </r>
    <r>
      <rPr>
        <sz val="9"/>
        <color theme="1"/>
        <rFont val="Calibri"/>
        <family val="2"/>
      </rPr>
      <t xml:space="preserve"> Sheet</t>
    </r>
    <r>
      <rPr>
        <sz val="9"/>
        <color theme="1"/>
        <rFont val="맑은 고딕"/>
        <family val="3"/>
        <charset val="129"/>
      </rPr>
      <t>에서</t>
    </r>
    <r>
      <rPr>
        <sz val="9"/>
        <color theme="1"/>
        <rFont val="Calibri"/>
        <family val="2"/>
      </rPr>
      <t xml:space="preserve"> </t>
    </r>
    <r>
      <rPr>
        <sz val="9"/>
        <color theme="1"/>
        <rFont val="맑은 고딕"/>
        <family val="3"/>
        <charset val="129"/>
      </rPr>
      <t>프로젝트</t>
    </r>
    <r>
      <rPr>
        <sz val="9"/>
        <color theme="1"/>
        <rFont val="Calibri"/>
        <family val="2"/>
      </rPr>
      <t xml:space="preserve"> Calendar</t>
    </r>
    <r>
      <rPr>
        <sz val="9"/>
        <color theme="1"/>
        <rFont val="맑은 고딕"/>
        <family val="3"/>
        <charset val="129"/>
      </rPr>
      <t>를</t>
    </r>
    <r>
      <rPr>
        <sz val="9"/>
        <color theme="1"/>
        <rFont val="Calibri"/>
        <family val="2"/>
      </rPr>
      <t xml:space="preserve"> </t>
    </r>
    <r>
      <rPr>
        <sz val="9"/>
        <color theme="1"/>
        <rFont val="맑은 고딕"/>
        <family val="3"/>
        <charset val="129"/>
      </rPr>
      <t>설정하세요</t>
    </r>
    <r>
      <rPr>
        <sz val="9"/>
        <color theme="1"/>
        <rFont val="Calibri"/>
        <family val="2"/>
      </rPr>
      <t>.</t>
    </r>
  </si>
  <si>
    <t>Positive - ahead of schedule, Negative - behind schedule</t>
  </si>
  <si>
    <r>
      <rPr>
        <sz val="9"/>
        <color theme="1"/>
        <rFont val="맑은 고딕"/>
        <family val="3"/>
        <charset val="129"/>
      </rPr>
      <t>양수이면</t>
    </r>
    <r>
      <rPr>
        <sz val="9"/>
        <color theme="1"/>
        <rFont val="Calibri"/>
        <family val="2"/>
      </rPr>
      <t xml:space="preserve"> </t>
    </r>
    <r>
      <rPr>
        <sz val="9"/>
        <color theme="1"/>
        <rFont val="맑은 고딕"/>
        <family val="3"/>
        <charset val="129"/>
      </rPr>
      <t>계획보다</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진행</t>
    </r>
    <r>
      <rPr>
        <sz val="9"/>
        <color theme="1"/>
        <rFont val="Calibri"/>
        <family val="2"/>
      </rPr>
      <t xml:space="preserve">, </t>
    </r>
    <r>
      <rPr>
        <sz val="9"/>
        <color theme="1"/>
        <rFont val="맑은 고딕"/>
        <family val="3"/>
        <charset val="129"/>
      </rPr>
      <t>음수이면</t>
    </r>
    <r>
      <rPr>
        <sz val="9"/>
        <color theme="1"/>
        <rFont val="Calibri"/>
        <family val="2"/>
      </rPr>
      <t xml:space="preserve"> </t>
    </r>
    <r>
      <rPr>
        <sz val="9"/>
        <color theme="1"/>
        <rFont val="맑은 고딕"/>
        <family val="3"/>
        <charset val="129"/>
      </rPr>
      <t>지연</t>
    </r>
  </si>
  <si>
    <t>Powerpoint</t>
  </si>
  <si>
    <r>
      <rPr>
        <sz val="9"/>
        <color theme="1"/>
        <rFont val="맑은 고딕"/>
        <family val="3"/>
        <charset val="129"/>
      </rPr>
      <t>파워포인트</t>
    </r>
  </si>
  <si>
    <t>Program Info</t>
  </si>
  <si>
    <r>
      <rPr>
        <sz val="9"/>
        <color theme="1"/>
        <rFont val="맑은 고딕"/>
        <family val="3"/>
        <charset val="129"/>
      </rPr>
      <t>프로그램</t>
    </r>
    <r>
      <rPr>
        <sz val="9"/>
        <color theme="1"/>
        <rFont val="Calibri"/>
        <family val="2"/>
      </rPr>
      <t xml:space="preserve"> </t>
    </r>
    <r>
      <rPr>
        <sz val="9"/>
        <color theme="1"/>
        <rFont val="맑은 고딕"/>
        <family val="3"/>
        <charset val="129"/>
      </rPr>
      <t>정보</t>
    </r>
  </si>
  <si>
    <t>Program Name</t>
  </si>
  <si>
    <r>
      <rPr>
        <sz val="9"/>
        <color theme="1"/>
        <rFont val="맑은 고딕"/>
        <family val="3"/>
        <charset val="129"/>
      </rPr>
      <t>프로그램명</t>
    </r>
  </si>
  <si>
    <t>Program Site</t>
  </si>
  <si>
    <r>
      <rPr>
        <sz val="9"/>
        <color theme="1"/>
        <rFont val="맑은 고딕"/>
        <family val="3"/>
        <charset val="129"/>
      </rPr>
      <t>프로그램</t>
    </r>
    <r>
      <rPr>
        <sz val="9"/>
        <color theme="1"/>
        <rFont val="Calibri"/>
        <family val="2"/>
      </rPr>
      <t xml:space="preserve"> </t>
    </r>
    <r>
      <rPr>
        <sz val="9"/>
        <color theme="1"/>
        <rFont val="맑은 고딕"/>
        <family val="3"/>
        <charset val="129"/>
      </rPr>
      <t>사이트</t>
    </r>
  </si>
  <si>
    <t>Progress</t>
  </si>
  <si>
    <r>
      <rPr>
        <sz val="9"/>
        <color theme="1"/>
        <rFont val="맑은 고딕"/>
        <family val="3"/>
        <charset val="129"/>
      </rPr>
      <t>진척율</t>
    </r>
  </si>
  <si>
    <t>Progress by Months</t>
    <phoneticPr fontId="11" type="noConversion"/>
  </si>
  <si>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t>
    </r>
    <phoneticPr fontId="11" type="noConversion"/>
  </si>
  <si>
    <t>Progress by Weeks</t>
    <phoneticPr fontId="11" type="noConversion"/>
  </si>
  <si>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t>
    </r>
    <phoneticPr fontId="11" type="noConversion"/>
  </si>
  <si>
    <t>Progresses by Resources</t>
  </si>
  <si>
    <r>
      <rPr>
        <sz val="9"/>
        <color theme="1"/>
        <rFont val="맑은 고딕"/>
        <family val="3"/>
        <charset val="129"/>
      </rPr>
      <t>담당별</t>
    </r>
    <r>
      <rPr>
        <sz val="9"/>
        <color theme="1"/>
        <rFont val="Calibri"/>
        <family val="2"/>
      </rPr>
      <t>\n</t>
    </r>
    <r>
      <rPr>
        <sz val="9"/>
        <color theme="1"/>
        <rFont val="맑은 고딕"/>
        <family val="3"/>
        <charset val="129"/>
      </rPr>
      <t>진행율</t>
    </r>
    <phoneticPr fontId="11" type="noConversion"/>
  </si>
  <si>
    <t>Project Execution Plan</t>
  </si>
  <si>
    <r>
      <rPr>
        <sz val="9"/>
        <color theme="1"/>
        <rFont val="맑은 고딕"/>
        <family val="3"/>
        <charset val="129"/>
      </rPr>
      <t>프로젝트수행계획서</t>
    </r>
  </si>
  <si>
    <t>Project Information</t>
  </si>
  <si>
    <r>
      <rPr>
        <sz val="9"/>
        <color theme="1"/>
        <rFont val="맑은 고딕"/>
        <family val="3"/>
        <charset val="129"/>
      </rPr>
      <t>프로젝트</t>
    </r>
    <r>
      <rPr>
        <sz val="9"/>
        <color theme="1"/>
        <rFont val="Calibri"/>
        <family val="2"/>
      </rPr>
      <t xml:space="preserve"> </t>
    </r>
    <r>
      <rPr>
        <sz val="9"/>
        <color theme="1"/>
        <rFont val="맑은 고딕"/>
        <family val="3"/>
        <charset val="129"/>
      </rPr>
      <t>정보</t>
    </r>
  </si>
  <si>
    <t>Project Name</t>
  </si>
  <si>
    <r>
      <rPr>
        <sz val="9"/>
        <color theme="1"/>
        <rFont val="맑은 고딕"/>
        <family val="3"/>
        <charset val="129"/>
      </rPr>
      <t>프로젝트명</t>
    </r>
  </si>
  <si>
    <t>Project Progress - When managing schedule changes</t>
  </si>
  <si>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 xml:space="preserve"> - </t>
    </r>
    <r>
      <rPr>
        <sz val="9"/>
        <color theme="1"/>
        <rFont val="맑은 고딕"/>
        <family val="3"/>
        <charset val="129"/>
      </rPr>
      <t>일정변경</t>
    </r>
    <r>
      <rPr>
        <sz val="9"/>
        <color theme="1"/>
        <rFont val="Calibri"/>
        <family val="2"/>
      </rPr>
      <t xml:space="preserve"> </t>
    </r>
    <r>
      <rPr>
        <sz val="9"/>
        <color theme="1"/>
        <rFont val="맑은 고딕"/>
        <family val="3"/>
        <charset val="129"/>
      </rPr>
      <t>관리할때</t>
    </r>
    <phoneticPr fontId="11" type="noConversion"/>
  </si>
  <si>
    <t>Project Progress - When not managing schedule changes</t>
  </si>
  <si>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 xml:space="preserve"> - </t>
    </r>
    <r>
      <rPr>
        <sz val="9"/>
        <color theme="1"/>
        <rFont val="맑은 고딕"/>
        <family val="3"/>
        <charset val="129"/>
      </rPr>
      <t>일정변경</t>
    </r>
    <r>
      <rPr>
        <sz val="9"/>
        <color theme="1"/>
        <rFont val="Calibri"/>
        <family val="2"/>
      </rPr>
      <t xml:space="preserve"> </t>
    </r>
    <r>
      <rPr>
        <sz val="9"/>
        <color theme="1"/>
        <rFont val="맑은 고딕"/>
        <family val="3"/>
        <charset val="129"/>
      </rPr>
      <t>관리하지</t>
    </r>
    <r>
      <rPr>
        <sz val="9"/>
        <color theme="1"/>
        <rFont val="Calibri"/>
        <family val="2"/>
      </rPr>
      <t xml:space="preserve"> </t>
    </r>
    <r>
      <rPr>
        <sz val="9"/>
        <color theme="1"/>
        <rFont val="맑은 고딕"/>
        <family val="3"/>
        <charset val="129"/>
      </rPr>
      <t>않을때</t>
    </r>
    <phoneticPr fontId="11" type="noConversion"/>
  </si>
  <si>
    <t>Project Progresses by Months</t>
    <phoneticPr fontId="1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</si>
  <si>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t>
    </r>
    <phoneticPr fontId="11" type="noConversion"/>
  </si>
  <si>
    <t>Project Progresses by Weeks</t>
    <phoneticPr fontId="1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</si>
  <si>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t>
    </r>
    <phoneticPr fontId="11" type="noConversion"/>
  </si>
  <si>
    <t>Project Scheduler</t>
  </si>
  <si>
    <t>Provides you with analytical reports such as progress, workload, and workload data for tracking the status of your project.</t>
    <phoneticPr fontId="11" type="noConversion"/>
  </si>
  <si>
    <r>
      <rPr>
        <sz val="9"/>
        <color theme="1"/>
        <rFont val="맑은 고딕"/>
        <family val="3"/>
        <charset val="129"/>
      </rPr>
      <t>프로젝트의</t>
    </r>
    <r>
      <rPr>
        <sz val="9"/>
        <color theme="1"/>
        <rFont val="Calibri"/>
        <family val="2"/>
      </rPr>
      <t xml:space="preserve"> </t>
    </r>
    <r>
      <rPr>
        <sz val="9"/>
        <color theme="1"/>
        <rFont val="맑은 고딕"/>
        <family val="3"/>
        <charset val="129"/>
      </rPr>
      <t>현황을</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진행율</t>
    </r>
    <r>
      <rPr>
        <sz val="9"/>
        <color theme="1"/>
        <rFont val="Calibri"/>
        <family val="2"/>
      </rPr>
      <t xml:space="preserve">, Workload </t>
    </r>
    <r>
      <rPr>
        <sz val="9"/>
        <color theme="1"/>
        <rFont val="맑은 고딕"/>
        <family val="3"/>
        <charset val="129"/>
      </rPr>
      <t>등의</t>
    </r>
    <r>
      <rPr>
        <sz val="9"/>
        <color theme="1"/>
        <rFont val="Calibri"/>
        <family val="2"/>
      </rPr>
      <t xml:space="preserve"> </t>
    </r>
    <r>
      <rPr>
        <sz val="9"/>
        <color theme="1"/>
        <rFont val="맑은 고딕"/>
        <family val="3"/>
        <charset val="129"/>
      </rPr>
      <t>분석</t>
    </r>
    <r>
      <rPr>
        <sz val="9"/>
        <color theme="1"/>
        <rFont val="Calibri"/>
        <family val="2"/>
      </rPr>
      <t xml:space="preserve"> </t>
    </r>
    <r>
      <rPr>
        <sz val="9"/>
        <color theme="1"/>
        <rFont val="맑은 고딕"/>
        <family val="3"/>
        <charset val="129"/>
      </rPr>
      <t>리포트와</t>
    </r>
    <r>
      <rPr>
        <sz val="9"/>
        <color theme="1"/>
        <rFont val="Calibri"/>
        <family val="2"/>
      </rPr>
      <t xml:space="preserve"> </t>
    </r>
    <r>
      <rPr>
        <sz val="9"/>
        <color theme="1"/>
        <rFont val="맑은 고딕"/>
        <family val="3"/>
        <charset val="129"/>
      </rPr>
      <t>분석용</t>
    </r>
    <r>
      <rPr>
        <sz val="9"/>
        <color theme="1"/>
        <rFont val="Calibri"/>
        <family val="2"/>
      </rPr>
      <t xml:space="preserve"> Workload data</t>
    </r>
    <r>
      <rPr>
        <sz val="9"/>
        <color theme="1"/>
        <rFont val="맑은 고딕"/>
        <family val="3"/>
        <charset val="129"/>
      </rPr>
      <t>를</t>
    </r>
    <r>
      <rPr>
        <sz val="9"/>
        <color theme="1"/>
        <rFont val="Calibri"/>
        <family val="2"/>
      </rPr>
      <t xml:space="preserve"> </t>
    </r>
    <r>
      <rPr>
        <sz val="9"/>
        <color theme="1"/>
        <rFont val="맑은 고딕"/>
        <family val="3"/>
        <charset val="129"/>
      </rPr>
      <t>제공한다</t>
    </r>
    <r>
      <rPr>
        <sz val="9"/>
        <color theme="1"/>
        <rFont val="Calibri"/>
        <family val="2"/>
      </rPr>
      <t>.</t>
    </r>
    <phoneticPr fontId="11" type="noConversion"/>
  </si>
  <si>
    <t>Purple</t>
    <phoneticPr fontId="11" type="noConversion"/>
  </si>
  <si>
    <r>
      <rPr>
        <sz val="9"/>
        <color theme="1"/>
        <rFont val="맑은 고딕"/>
        <family val="3"/>
        <charset val="129"/>
      </rPr>
      <t>퍼플</t>
    </r>
    <phoneticPr fontId="11" type="noConversion"/>
  </si>
  <si>
    <t>Recalculate WBS area after import</t>
    <phoneticPr fontId="11" type="noConversion"/>
  </si>
  <si>
    <r>
      <rPr>
        <sz val="9"/>
        <color theme="1"/>
        <rFont val="맑은 고딕"/>
        <family val="3"/>
        <charset val="129"/>
      </rPr>
      <t>가져오기</t>
    </r>
    <r>
      <rPr>
        <sz val="9"/>
        <color theme="1"/>
        <rFont val="Calibri"/>
        <family val="2"/>
      </rPr>
      <t xml:space="preserve"> </t>
    </r>
    <r>
      <rPr>
        <sz val="9"/>
        <color theme="1"/>
        <rFont val="맑은 고딕"/>
        <family val="3"/>
        <charset val="129"/>
      </rPr>
      <t>후</t>
    </r>
    <r>
      <rPr>
        <sz val="9"/>
        <color theme="1"/>
        <rFont val="Calibri"/>
        <family val="2"/>
      </rPr>
      <t xml:space="preserve"> WBS</t>
    </r>
    <r>
      <rPr>
        <sz val="9"/>
        <color theme="1"/>
        <rFont val="맑은 고딕"/>
        <family val="3"/>
        <charset val="129"/>
      </rPr>
      <t>영역</t>
    </r>
    <r>
      <rPr>
        <sz val="9"/>
        <color theme="1"/>
        <rFont val="Calibri"/>
        <family val="2"/>
      </rPr>
      <t xml:space="preserve"> </t>
    </r>
    <r>
      <rPr>
        <sz val="9"/>
        <color theme="1"/>
        <rFont val="맑은 고딕"/>
        <family val="3"/>
        <charset val="129"/>
      </rPr>
      <t>재계산</t>
    </r>
    <phoneticPr fontId="11" type="noConversion"/>
  </si>
  <si>
    <t>Reformatting</t>
  </si>
  <si>
    <r>
      <rPr>
        <sz val="9"/>
        <color theme="1"/>
        <rFont val="맑은 고딕"/>
        <family val="3"/>
        <charset val="129"/>
      </rPr>
      <t>서식</t>
    </r>
    <r>
      <rPr>
        <sz val="9"/>
        <color theme="1"/>
        <rFont val="Calibri"/>
        <family val="2"/>
      </rPr>
      <t>\n</t>
    </r>
    <r>
      <rPr>
        <sz val="9"/>
        <color theme="1"/>
        <rFont val="맑은 고딕"/>
        <family val="3"/>
        <charset val="129"/>
      </rPr>
      <t>재설정</t>
    </r>
    <phoneticPr fontId="11" type="noConversion"/>
  </si>
  <si>
    <t>Regardless of the language setting in computer O/S, you can choose a language directly</t>
  </si>
  <si>
    <r>
      <rPr>
        <sz val="9"/>
        <color theme="1"/>
        <rFont val="맑은 고딕"/>
        <family val="3"/>
        <charset val="129"/>
      </rPr>
      <t>컴퓨터</t>
    </r>
    <r>
      <rPr>
        <sz val="9"/>
        <color theme="1"/>
        <rFont val="Calibri"/>
        <family val="2"/>
      </rPr>
      <t xml:space="preserve"> O/S</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언어와</t>
    </r>
    <r>
      <rPr>
        <sz val="9"/>
        <color theme="1"/>
        <rFont val="Calibri"/>
        <family val="2"/>
      </rPr>
      <t xml:space="preserve"> </t>
    </r>
    <r>
      <rPr>
        <sz val="9"/>
        <color theme="1"/>
        <rFont val="맑은 고딕"/>
        <family val="3"/>
        <charset val="129"/>
      </rPr>
      <t>관계없이</t>
    </r>
    <r>
      <rPr>
        <sz val="9"/>
        <color theme="1"/>
        <rFont val="Calibri"/>
        <family val="2"/>
      </rPr>
      <t xml:space="preserve"> </t>
    </r>
    <r>
      <rPr>
        <sz val="9"/>
        <color theme="1"/>
        <rFont val="맑은 고딕"/>
        <family val="3"/>
        <charset val="129"/>
      </rPr>
      <t>사용자가</t>
    </r>
    <r>
      <rPr>
        <sz val="9"/>
        <color theme="1"/>
        <rFont val="Calibri"/>
        <family val="2"/>
      </rPr>
      <t xml:space="preserve"> </t>
    </r>
    <r>
      <rPr>
        <sz val="9"/>
        <color theme="1"/>
        <rFont val="맑은 고딕"/>
        <family val="3"/>
        <charset val="129"/>
      </rPr>
      <t>표시할</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직접</t>
    </r>
    <r>
      <rPr>
        <sz val="9"/>
        <color theme="1"/>
        <rFont val="Calibri"/>
        <family val="2"/>
      </rPr>
      <t xml:space="preserve"> </t>
    </r>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_x000D_
</t>
    </r>
    <r>
      <rPr>
        <sz val="9"/>
        <color theme="1"/>
        <rFont val="맑은 고딕"/>
        <family val="3"/>
        <charset val="129"/>
      </rPr>
      <t>있습니다</t>
    </r>
    <r>
      <rPr>
        <sz val="9"/>
        <color theme="1"/>
        <rFont val="Calibri"/>
        <family val="2"/>
      </rPr>
      <t>.</t>
    </r>
  </si>
  <si>
    <t>Release Date</t>
  </si>
  <si>
    <r>
      <rPr>
        <sz val="9"/>
        <color theme="1"/>
        <rFont val="맑은 고딕"/>
        <family val="3"/>
        <charset val="129"/>
      </rPr>
      <t>릴리즈</t>
    </r>
    <r>
      <rPr>
        <sz val="9"/>
        <color theme="1"/>
        <rFont val="Calibri"/>
        <family val="2"/>
      </rPr>
      <t xml:space="preserve"> </t>
    </r>
    <r>
      <rPr>
        <sz val="9"/>
        <color theme="1"/>
        <rFont val="맑은 고딕"/>
        <family val="3"/>
        <charset val="129"/>
      </rPr>
      <t>일자</t>
    </r>
  </si>
  <si>
    <t>Resource Allocation Ratio</t>
    <phoneticPr fontId="11" type="noConversion"/>
  </si>
  <si>
    <r>
      <rPr>
        <sz val="9"/>
        <color theme="1"/>
        <rFont val="맑은 고딕"/>
        <family val="3"/>
        <charset val="129"/>
      </rPr>
      <t>자원배정비율</t>
    </r>
    <phoneticPr fontId="11" type="noConversion"/>
  </si>
  <si>
    <t>Resource field.</t>
  </si>
  <si>
    <r>
      <rPr>
        <sz val="9"/>
        <color theme="1"/>
        <rFont val="맑은 고딕"/>
        <family val="3"/>
        <charset val="129"/>
      </rPr>
      <t>자원</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담당자</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등의</t>
    </r>
    <r>
      <rPr>
        <sz val="9"/>
        <color theme="1"/>
        <rFont val="Calibri"/>
        <family val="2"/>
      </rPr>
      <t xml:space="preserve"> </t>
    </r>
    <r>
      <rPr>
        <sz val="9"/>
        <color theme="1"/>
        <rFont val="맑은 고딕"/>
        <family val="3"/>
        <charset val="129"/>
      </rPr>
      <t>이름으로</t>
    </r>
    <r>
      <rPr>
        <sz val="9"/>
        <color theme="1"/>
        <rFont val="Calibri"/>
        <family val="2"/>
      </rPr>
      <t xml:space="preserve"> </t>
    </r>
    <r>
      <rPr>
        <sz val="9"/>
        <color theme="1"/>
        <rFont val="맑은 고딕"/>
        <family val="3"/>
        <charset val="129"/>
      </rPr>
      <t>불리기도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해당</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담당자를</t>
    </r>
    <r>
      <rPr>
        <sz val="9"/>
        <color theme="1"/>
        <rFont val="Calibri"/>
        <family val="2"/>
      </rPr>
      <t xml:space="preserve"> </t>
    </r>
    <r>
      <rPr>
        <sz val="9"/>
        <color theme="1"/>
        <rFont val="맑은 고딕"/>
        <family val="3"/>
        <charset val="129"/>
      </rPr>
      <t>표시합니다</t>
    </r>
  </si>
  <si>
    <t>Resources</t>
    <phoneticPr fontId="11" type="noConversion"/>
  </si>
  <si>
    <t>Right of the chart</t>
  </si>
  <si>
    <r>
      <t xml:space="preserve">Chart </t>
    </r>
    <r>
      <rPr>
        <sz val="9"/>
        <color theme="1"/>
        <rFont val="맑은 고딕"/>
        <family val="3"/>
        <charset val="129"/>
      </rPr>
      <t>오른쪽</t>
    </r>
  </si>
  <si>
    <t xml:space="preserve">Rows of imported data : </t>
  </si>
  <si>
    <r>
      <rPr>
        <sz val="9"/>
        <color theme="1"/>
        <rFont val="맑은 고딕"/>
        <family val="3"/>
        <charset val="129"/>
      </rPr>
      <t>가져온</t>
    </r>
    <r>
      <rPr>
        <sz val="9"/>
        <color theme="1"/>
        <rFont val="Calibri"/>
        <family val="2"/>
      </rPr>
      <t xml:space="preserve"> </t>
    </r>
    <r>
      <rPr>
        <sz val="9"/>
        <color theme="1"/>
        <rFont val="맑은 고딕"/>
        <family val="3"/>
        <charset val="129"/>
      </rPr>
      <t>자료의</t>
    </r>
    <r>
      <rPr>
        <sz val="9"/>
        <color theme="1"/>
        <rFont val="Calibri"/>
        <family val="2"/>
      </rPr>
      <t xml:space="preserve"> </t>
    </r>
    <r>
      <rPr>
        <sz val="9"/>
        <color theme="1"/>
        <rFont val="맑은 고딕"/>
        <family val="3"/>
        <charset val="129"/>
      </rPr>
      <t>행수</t>
    </r>
    <r>
      <rPr>
        <sz val="9"/>
        <color theme="1"/>
        <rFont val="Calibri"/>
        <family val="2"/>
      </rPr>
      <t xml:space="preserve"> : </t>
    </r>
  </si>
  <si>
    <t>Run "Update Schedule"  When Saving XLGantt File</t>
  </si>
  <si>
    <r>
      <t>File</t>
    </r>
    <r>
      <rPr>
        <sz val="9"/>
        <color theme="1"/>
        <rFont val="맑은 고딕"/>
        <family val="3"/>
        <charset val="129"/>
      </rPr>
      <t>저장시</t>
    </r>
    <r>
      <rPr>
        <sz val="9"/>
        <color theme="1"/>
        <rFont val="Calibri"/>
        <family val="2"/>
      </rPr>
      <t xml:space="preserve"> "</t>
    </r>
    <r>
      <rPr>
        <sz val="9"/>
        <color theme="1"/>
        <rFont val="맑은 고딕"/>
        <family val="3"/>
        <charset val="129"/>
      </rPr>
      <t>스케줄업데이트</t>
    </r>
    <r>
      <rPr>
        <sz val="9"/>
        <color theme="1"/>
        <rFont val="Calibri"/>
        <family val="2"/>
      </rPr>
      <t xml:space="preserve">" </t>
    </r>
    <r>
      <rPr>
        <sz val="9"/>
        <color theme="1"/>
        <rFont val="맑은 고딕"/>
        <family val="3"/>
        <charset val="129"/>
      </rPr>
      <t>실행</t>
    </r>
    <phoneticPr fontId="11" type="noConversion"/>
  </si>
  <si>
    <t>Sat</t>
  </si>
  <si>
    <r>
      <rPr>
        <sz val="9"/>
        <color theme="1"/>
        <rFont val="맑은 고딕"/>
        <family val="3"/>
        <charset val="129"/>
      </rPr>
      <t>토</t>
    </r>
  </si>
  <si>
    <t>Save</t>
  </si>
  <si>
    <r>
      <rPr>
        <sz val="9"/>
        <color theme="1"/>
        <rFont val="맑은 고딕"/>
        <family val="3"/>
        <charset val="129"/>
      </rPr>
      <t>저장</t>
    </r>
  </si>
  <si>
    <t>Schedule change</t>
    <phoneticPr fontId="11" type="noConversion"/>
  </si>
  <si>
    <r>
      <rPr>
        <sz val="9"/>
        <color theme="1"/>
        <rFont val="맑은 고딕"/>
        <family val="3"/>
        <charset val="129"/>
      </rPr>
      <t>일정계획</t>
    </r>
    <r>
      <rPr>
        <sz val="9"/>
        <color theme="1"/>
        <rFont val="Calibri"/>
        <family val="2"/>
      </rPr>
      <t xml:space="preserve"> </t>
    </r>
    <r>
      <rPr>
        <sz val="9"/>
        <color theme="1"/>
        <rFont val="맑은 고딕"/>
        <family val="3"/>
        <charset val="129"/>
      </rPr>
      <t>변경관리</t>
    </r>
  </si>
  <si>
    <t>Schedule Change Management</t>
  </si>
  <si>
    <t>Schedule update has been completed.</t>
  </si>
  <si>
    <r>
      <rPr>
        <sz val="9"/>
        <color theme="1"/>
        <rFont val="맑은 고딕"/>
        <family val="3"/>
        <charset val="129"/>
      </rPr>
      <t>스케줄업데이트</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완료되었습니다</t>
    </r>
    <r>
      <rPr>
        <sz val="9"/>
        <color theme="1"/>
        <rFont val="Calibri"/>
        <family val="2"/>
      </rPr>
      <t>.</t>
    </r>
  </si>
  <si>
    <t>Schedule variance</t>
    <phoneticPr fontId="11" type="noConversion"/>
  </si>
  <si>
    <r>
      <rPr>
        <sz val="9"/>
        <color theme="1"/>
        <rFont val="맑은 고딕"/>
        <family val="3"/>
        <charset val="129"/>
      </rPr>
      <t>계획대비</t>
    </r>
    <r>
      <rPr>
        <sz val="9"/>
        <color theme="1"/>
        <rFont val="Calibri"/>
        <family val="2"/>
      </rPr>
      <t xml:space="preserve"> </t>
    </r>
    <r>
      <rPr>
        <sz val="9"/>
        <color theme="1"/>
        <rFont val="맑은 고딕"/>
        <family val="3"/>
        <charset val="129"/>
      </rPr>
      <t>실적</t>
    </r>
    <r>
      <rPr>
        <sz val="9"/>
        <color theme="1"/>
        <rFont val="Calibri"/>
        <family val="2"/>
      </rPr>
      <t xml:space="preserve"> </t>
    </r>
    <r>
      <rPr>
        <sz val="9"/>
        <color theme="1"/>
        <rFont val="맑은 고딕"/>
        <family val="3"/>
        <charset val="129"/>
      </rPr>
      <t>차이</t>
    </r>
    <phoneticPr fontId="11" type="noConversion"/>
  </si>
  <si>
    <t>Schedule Variance(B-A)</t>
  </si>
  <si>
    <r>
      <rPr>
        <sz val="9"/>
        <color theme="1"/>
        <rFont val="맑은 고딕"/>
        <family val="3"/>
        <charset val="129"/>
      </rPr>
      <t>차이</t>
    </r>
    <r>
      <rPr>
        <sz val="9"/>
        <color theme="1"/>
        <rFont val="Calibri"/>
        <family val="2"/>
      </rPr>
      <t>(B-A)</t>
    </r>
  </si>
  <si>
    <t>Search for the tasks based on criteria.</t>
  </si>
  <si>
    <t>Select source files(Muliple Select)</t>
  </si>
  <si>
    <r>
      <rPr>
        <sz val="9"/>
        <color theme="1"/>
        <rFont val="맑은 고딕"/>
        <family val="3"/>
        <charset val="129"/>
      </rPr>
      <t>가져올</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선택하세요</t>
    </r>
    <r>
      <rPr>
        <sz val="9"/>
        <color theme="1"/>
        <rFont val="Calibri"/>
        <family val="2"/>
      </rPr>
      <t>(</t>
    </r>
    <r>
      <rPr>
        <sz val="9"/>
        <color theme="1"/>
        <rFont val="맑은 고딕"/>
        <family val="3"/>
        <charset val="129"/>
      </rPr>
      <t>다중선택가능</t>
    </r>
    <r>
      <rPr>
        <sz val="9"/>
        <color theme="1"/>
        <rFont val="Calibri"/>
        <family val="2"/>
      </rPr>
      <t>)</t>
    </r>
  </si>
  <si>
    <t>Set "the earliest start date and the lastest fisnish date of the tasks" to the Project Start-Finish date.</t>
    <phoneticPr fontId="11" type="noConversion"/>
  </si>
  <si>
    <r>
      <t>Task</t>
    </r>
    <r>
      <rPr>
        <sz val="9"/>
        <color theme="1"/>
        <rFont val="맑은 고딕"/>
        <family val="3"/>
        <charset val="129"/>
      </rPr>
      <t>의</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시작일과</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기간으로</t>
    </r>
    <r>
      <rPr>
        <sz val="9"/>
        <color theme="1"/>
        <rFont val="Calibri"/>
        <family val="2"/>
      </rPr>
      <t xml:space="preserve"> </t>
    </r>
    <r>
      <rPr>
        <sz val="9"/>
        <color theme="1"/>
        <rFont val="맑은 고딕"/>
        <family val="3"/>
        <charset val="129"/>
      </rPr>
      <t>자동설정</t>
    </r>
  </si>
  <si>
    <t xml:space="preserve">Set path by the task name automatically\n(in this case, specify the upper path of automatically assigned path) </t>
  </si>
  <si>
    <r>
      <rPr>
        <sz val="9"/>
        <color theme="1"/>
        <rFont val="맑은 고딕"/>
        <family val="3"/>
        <charset val="129"/>
      </rPr>
      <t>작업명으로</t>
    </r>
    <r>
      <rPr>
        <sz val="9"/>
        <color theme="1"/>
        <rFont val="Calibri"/>
        <family val="2"/>
      </rPr>
      <t xml:space="preserve"> </t>
    </r>
    <r>
      <rPr>
        <sz val="9"/>
        <color theme="1"/>
        <rFont val="맑은 고딕"/>
        <family val="3"/>
        <charset val="129"/>
      </rPr>
      <t>경로</t>
    </r>
    <r>
      <rPr>
        <sz val="9"/>
        <color theme="1"/>
        <rFont val="Calibri"/>
        <family val="2"/>
      </rPr>
      <t xml:space="preserve"> </t>
    </r>
    <r>
      <rPr>
        <sz val="9"/>
        <color theme="1"/>
        <rFont val="맑은 고딕"/>
        <family val="3"/>
        <charset val="129"/>
      </rPr>
      <t>자동지정</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자동지정된</t>
    </r>
    <r>
      <rPr>
        <sz val="9"/>
        <color theme="1"/>
        <rFont val="Calibri"/>
        <family val="2"/>
      </rPr>
      <t xml:space="preserve"> </t>
    </r>
    <r>
      <rPr>
        <sz val="9"/>
        <color theme="1"/>
        <rFont val="맑은 고딕"/>
        <family val="3"/>
        <charset val="129"/>
      </rPr>
      <t>경로의</t>
    </r>
    <r>
      <rPr>
        <sz val="9"/>
        <color theme="1"/>
        <rFont val="Calibri"/>
        <family val="2"/>
      </rPr>
      <t xml:space="preserve"> </t>
    </r>
    <r>
      <rPr>
        <sz val="9"/>
        <color theme="1"/>
        <rFont val="맑은 고딕"/>
        <family val="3"/>
        <charset val="129"/>
      </rPr>
      <t>상위경로를</t>
    </r>
    <r>
      <rPr>
        <sz val="9"/>
        <color theme="1"/>
        <rFont val="Calibri"/>
        <family val="2"/>
      </rPr>
      <t xml:space="preserve"> </t>
    </r>
    <r>
      <rPr>
        <sz val="9"/>
        <color theme="1"/>
        <rFont val="맑은 고딕"/>
        <family val="3"/>
        <charset val="129"/>
      </rPr>
      <t>입력</t>
    </r>
    <r>
      <rPr>
        <sz val="9"/>
        <color theme="1"/>
        <rFont val="Calibri"/>
        <family val="2"/>
      </rPr>
      <t xml:space="preserve">) </t>
    </r>
  </si>
  <si>
    <t>Set program execution paths to open deliverables</t>
  </si>
  <si>
    <r>
      <rPr>
        <sz val="9"/>
        <color theme="1"/>
        <rFont val="맑은 고딕"/>
        <family val="3"/>
        <charset val="129"/>
      </rPr>
      <t>산출물열기</t>
    </r>
    <r>
      <rPr>
        <sz val="9"/>
        <color theme="1"/>
        <rFont val="Calibri"/>
        <family val="2"/>
      </rPr>
      <t xml:space="preserve"> </t>
    </r>
    <r>
      <rPr>
        <sz val="9"/>
        <color theme="1"/>
        <rFont val="맑은 고딕"/>
        <family val="3"/>
        <charset val="129"/>
      </rPr>
      <t>프로그램</t>
    </r>
    <r>
      <rPr>
        <sz val="9"/>
        <color theme="1"/>
        <rFont val="Calibri"/>
        <family val="2"/>
      </rPr>
      <t xml:space="preserve"> </t>
    </r>
    <r>
      <rPr>
        <sz val="9"/>
        <color theme="1"/>
        <rFont val="맑은 고딕"/>
        <family val="3"/>
        <charset val="129"/>
      </rPr>
      <t>실행경로</t>
    </r>
    <r>
      <rPr>
        <sz val="9"/>
        <color theme="1"/>
        <rFont val="Calibri"/>
        <family val="2"/>
      </rPr>
      <t xml:space="preserve"> </t>
    </r>
    <r>
      <rPr>
        <sz val="9"/>
        <color theme="1"/>
        <rFont val="맑은 고딕"/>
        <family val="3"/>
        <charset val="129"/>
      </rPr>
      <t>지정</t>
    </r>
  </si>
  <si>
    <t>Set saving path of deliverables</t>
  </si>
  <si>
    <r>
      <rPr>
        <sz val="9"/>
        <color theme="1"/>
        <rFont val="맑은 고딕"/>
        <family val="3"/>
        <charset val="129"/>
      </rPr>
      <t>산출물</t>
    </r>
    <r>
      <rPr>
        <sz val="9"/>
        <color theme="1"/>
        <rFont val="Calibri"/>
        <family val="2"/>
      </rPr>
      <t xml:space="preserve"> </t>
    </r>
    <r>
      <rPr>
        <sz val="9"/>
        <color theme="1"/>
        <rFont val="맑은 고딕"/>
        <family val="3"/>
        <charset val="129"/>
      </rPr>
      <t>저장경로</t>
    </r>
  </si>
  <si>
    <t>Sets nonworking days.</t>
    <phoneticPr fontId="11" type="noConversion"/>
  </si>
  <si>
    <r>
      <rPr>
        <sz val="9"/>
        <color theme="1"/>
        <rFont val="맑은 고딕"/>
        <family val="3"/>
        <charset val="129"/>
      </rPr>
      <t>프로젝트의</t>
    </r>
    <r>
      <rPr>
        <sz val="9"/>
        <color theme="1"/>
        <rFont val="Calibri"/>
        <family val="2"/>
      </rPr>
      <t xml:space="preserve"> </t>
    </r>
    <r>
      <rPr>
        <sz val="9"/>
        <color theme="1"/>
        <rFont val="맑은 고딕"/>
        <family val="3"/>
        <charset val="129"/>
      </rPr>
      <t>휴무일을</t>
    </r>
    <r>
      <rPr>
        <sz val="9"/>
        <color theme="1"/>
        <rFont val="Calibri"/>
        <family val="2"/>
      </rPr>
      <t xml:space="preserve"> </t>
    </r>
    <r>
      <rPr>
        <sz val="9"/>
        <color theme="1"/>
        <rFont val="맑은 고딕"/>
        <family val="3"/>
        <charset val="129"/>
      </rPr>
      <t>설정한다</t>
    </r>
    <r>
      <rPr>
        <sz val="9"/>
        <color theme="1"/>
        <rFont val="Calibri"/>
        <family val="2"/>
      </rPr>
      <t>.</t>
    </r>
  </si>
  <si>
    <t>Setting Gantt chart display style</t>
    <phoneticPr fontId="1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</si>
  <si>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표시방법</t>
    </r>
    <r>
      <rPr>
        <sz val="9"/>
        <color theme="1"/>
        <rFont val="Calibri"/>
        <family val="2"/>
      </rPr>
      <t xml:space="preserve"> </t>
    </r>
    <r>
      <rPr>
        <sz val="9"/>
        <color theme="1"/>
        <rFont val="맑은 고딕"/>
        <family val="3"/>
        <charset val="129"/>
      </rPr>
      <t>설정</t>
    </r>
  </si>
  <si>
    <t>Settings</t>
  </si>
  <si>
    <r>
      <rPr>
        <sz val="9"/>
        <color theme="1"/>
        <rFont val="맑은 고딕"/>
        <family val="3"/>
        <charset val="129"/>
      </rPr>
      <t>설정</t>
    </r>
  </si>
  <si>
    <t>Sheets</t>
    <phoneticPr fontId="11" type="noConversion"/>
  </si>
  <si>
    <r>
      <rPr>
        <sz val="9"/>
        <color theme="1"/>
        <rFont val="맑은 고딕"/>
        <family val="3"/>
        <charset val="129"/>
      </rPr>
      <t>시트</t>
    </r>
    <r>
      <rPr>
        <sz val="9"/>
        <color theme="1"/>
        <rFont val="Calibri"/>
        <family val="2"/>
      </rPr>
      <t xml:space="preserve"> </t>
    </r>
    <r>
      <rPr>
        <sz val="9"/>
        <color theme="1"/>
        <rFont val="맑은 고딕"/>
        <family val="3"/>
        <charset val="129"/>
      </rPr>
      <t>구성</t>
    </r>
    <phoneticPr fontId="11" type="noConversion"/>
  </si>
  <si>
    <t>Shows you the progresses and workloads of the project by weeks, months, and resources.</t>
    <phoneticPr fontId="11" type="noConversion"/>
  </si>
  <si>
    <r>
      <rPr>
        <sz val="9"/>
        <color theme="1"/>
        <rFont val="맑은 고딕"/>
        <family val="3"/>
        <charset val="129"/>
      </rPr>
      <t>담당별</t>
    </r>
    <r>
      <rPr>
        <sz val="9"/>
        <color theme="1"/>
        <rFont val="Calibri"/>
        <family val="2"/>
      </rPr>
      <t xml:space="preserve"> </t>
    </r>
    <r>
      <rPr>
        <sz val="9"/>
        <color theme="1"/>
        <rFont val="맑은 고딕"/>
        <family val="3"/>
        <charset val="129"/>
      </rPr>
      <t>진행율</t>
    </r>
    <r>
      <rPr>
        <sz val="9"/>
        <color theme="1"/>
        <rFont val="Calibri"/>
        <family val="2"/>
      </rPr>
      <t>, Workload</t>
    </r>
    <r>
      <rPr>
        <sz val="9"/>
        <color theme="1"/>
        <rFont val="맑은 고딕"/>
        <family val="3"/>
        <charset val="129"/>
      </rPr>
      <t>등</t>
    </r>
    <r>
      <rPr>
        <sz val="9"/>
        <color theme="1"/>
        <rFont val="Calibri"/>
        <family val="2"/>
      </rPr>
      <t xml:space="preserve"> </t>
    </r>
    <r>
      <rPr>
        <sz val="9"/>
        <color theme="1"/>
        <rFont val="맑은 고딕"/>
        <family val="3"/>
        <charset val="129"/>
      </rPr>
      <t>분석용</t>
    </r>
    <r>
      <rPr>
        <sz val="9"/>
        <color theme="1"/>
        <rFont val="Calibri"/>
        <family val="2"/>
      </rPr>
      <t xml:space="preserve"> Report</t>
    </r>
    <r>
      <rPr>
        <sz val="9"/>
        <color theme="1"/>
        <rFont val="맑은 고딕"/>
        <family val="3"/>
        <charset val="129"/>
      </rPr>
      <t>를</t>
    </r>
    <r>
      <rPr>
        <sz val="9"/>
        <color theme="1"/>
        <rFont val="Calibri"/>
        <family val="2"/>
      </rPr>
      <t xml:space="preserve"> </t>
    </r>
    <r>
      <rPr>
        <sz val="9"/>
        <color theme="1"/>
        <rFont val="맑은 고딕"/>
        <family val="3"/>
        <charset val="129"/>
      </rPr>
      <t>만들어서</t>
    </r>
    <r>
      <rPr>
        <sz val="9"/>
        <color theme="1"/>
        <rFont val="Calibri"/>
        <family val="2"/>
      </rPr>
      <t xml:space="preserve"> </t>
    </r>
    <r>
      <rPr>
        <sz val="9"/>
        <color theme="1"/>
        <rFont val="맑은 고딕"/>
        <family val="3"/>
        <charset val="129"/>
      </rPr>
      <t>보여준다</t>
    </r>
    <r>
      <rPr>
        <sz val="9"/>
        <color theme="1"/>
        <rFont val="Calibri"/>
        <family val="2"/>
      </rPr>
      <t>.</t>
    </r>
  </si>
  <si>
    <t>Shows you the workloads, progresses, etc.</t>
    <phoneticPr fontId="11" type="noConversion"/>
  </si>
  <si>
    <r>
      <rPr>
        <sz val="9"/>
        <color theme="1"/>
        <rFont val="맑은 고딕"/>
        <family val="3"/>
        <charset val="129"/>
      </rPr>
      <t>작업량</t>
    </r>
    <r>
      <rPr>
        <sz val="9"/>
        <color theme="1"/>
        <rFont val="Calibri"/>
        <family val="2"/>
      </rPr>
      <t xml:space="preserve">, </t>
    </r>
    <r>
      <rPr>
        <sz val="9"/>
        <color theme="1"/>
        <rFont val="맑은 고딕"/>
        <family val="3"/>
        <charset val="129"/>
      </rPr>
      <t>진척율</t>
    </r>
    <r>
      <rPr>
        <sz val="9"/>
        <color theme="1"/>
        <rFont val="Calibri"/>
        <family val="2"/>
      </rPr>
      <t xml:space="preserve"> </t>
    </r>
    <r>
      <rPr>
        <sz val="9"/>
        <color theme="1"/>
        <rFont val="맑은 고딕"/>
        <family val="3"/>
        <charset val="129"/>
      </rPr>
      <t>등을</t>
    </r>
    <r>
      <rPr>
        <sz val="9"/>
        <color theme="1"/>
        <rFont val="Calibri"/>
        <family val="2"/>
      </rPr>
      <t xml:space="preserve"> </t>
    </r>
    <r>
      <rPr>
        <sz val="9"/>
        <color theme="1"/>
        <rFont val="맑은 고딕"/>
        <family val="3"/>
        <charset val="129"/>
      </rPr>
      <t>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</si>
  <si>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t>Specific Date</t>
  </si>
  <si>
    <r>
      <rPr>
        <sz val="9"/>
        <color theme="1"/>
        <rFont val="맑은 고딕"/>
        <family val="3"/>
        <charset val="129"/>
      </rPr>
      <t>특정날짜</t>
    </r>
  </si>
  <si>
    <t>Specific path</t>
  </si>
  <si>
    <r>
      <rPr>
        <sz val="9"/>
        <color theme="1"/>
        <rFont val="맑은 고딕"/>
        <family val="3"/>
        <charset val="129"/>
      </rPr>
      <t>특정</t>
    </r>
    <r>
      <rPr>
        <sz val="9"/>
        <color theme="1"/>
        <rFont val="Calibri"/>
        <family val="2"/>
      </rPr>
      <t xml:space="preserve"> </t>
    </r>
    <r>
      <rPr>
        <sz val="9"/>
        <color theme="1"/>
        <rFont val="맑은 고딕"/>
        <family val="3"/>
        <charset val="129"/>
      </rPr>
      <t>경로</t>
    </r>
  </si>
  <si>
    <t>Specifies the save path of the deliverables and open the deliverables.</t>
    <phoneticPr fontId="11" type="noConversion"/>
  </si>
  <si>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산출물의</t>
    </r>
    <r>
      <rPr>
        <sz val="9"/>
        <color theme="1"/>
        <rFont val="Calibri"/>
        <family val="2"/>
      </rPr>
      <t xml:space="preserve"> </t>
    </r>
    <r>
      <rPr>
        <sz val="9"/>
        <color theme="1"/>
        <rFont val="맑은 고딕"/>
        <family val="3"/>
        <charset val="129"/>
      </rPr>
      <t>저장</t>
    </r>
    <r>
      <rPr>
        <sz val="9"/>
        <color theme="1"/>
        <rFont val="Calibri"/>
        <family val="2"/>
      </rPr>
      <t xml:space="preserve"> </t>
    </r>
    <r>
      <rPr>
        <sz val="9"/>
        <color theme="1"/>
        <rFont val="맑은 고딕"/>
        <family val="3"/>
        <charset val="129"/>
      </rPr>
      <t>경로</t>
    </r>
    <r>
      <rPr>
        <sz val="9"/>
        <color theme="1"/>
        <rFont val="Calibri"/>
        <family val="2"/>
      </rPr>
      <t>(</t>
    </r>
    <r>
      <rPr>
        <sz val="9"/>
        <color theme="1"/>
        <rFont val="맑은 고딕"/>
        <family val="3"/>
        <charset val="129"/>
      </rPr>
      <t>폴더</t>
    </r>
    <r>
      <rPr>
        <sz val="9"/>
        <color theme="1"/>
        <rFont val="Calibri"/>
        <family val="2"/>
      </rPr>
      <t xml:space="preserve"> </t>
    </r>
    <r>
      <rPr>
        <sz val="9"/>
        <color theme="1"/>
        <rFont val="맑은 고딕"/>
        <family val="3"/>
        <charset val="129"/>
      </rPr>
      <t>위치</t>
    </r>
    <r>
      <rPr>
        <sz val="9"/>
        <color theme="1"/>
        <rFont val="Calibri"/>
        <family val="2"/>
      </rPr>
      <t>)</t>
    </r>
    <r>
      <rPr>
        <sz val="9"/>
        <color theme="1"/>
        <rFont val="맑은 고딕"/>
        <family val="3"/>
        <charset val="129"/>
      </rPr>
      <t>를</t>
    </r>
    <r>
      <rPr>
        <sz val="9"/>
        <color theme="1"/>
        <rFont val="Calibri"/>
        <family val="2"/>
      </rPr>
      <t xml:space="preserve"> </t>
    </r>
    <r>
      <rPr>
        <sz val="9"/>
        <color theme="1"/>
        <rFont val="맑은 고딕"/>
        <family val="3"/>
        <charset val="129"/>
      </rPr>
      <t>지정하고</t>
    </r>
    <r>
      <rPr>
        <sz val="9"/>
        <color theme="1"/>
        <rFont val="Calibri"/>
        <family val="2"/>
      </rPr>
      <t xml:space="preserve"> Schedule</t>
    </r>
    <r>
      <rPr>
        <sz val="9"/>
        <color theme="1"/>
        <rFont val="맑은 고딕"/>
        <family val="3"/>
        <charset val="129"/>
      </rPr>
      <t>시트에서</t>
    </r>
    <r>
      <rPr>
        <sz val="9"/>
        <color theme="1"/>
        <rFont val="Calibri"/>
        <family val="2"/>
      </rPr>
      <t xml:space="preserve"> </t>
    </r>
    <r>
      <rPr>
        <sz val="9"/>
        <color theme="1"/>
        <rFont val="맑은 고딕"/>
        <family val="3"/>
        <charset val="129"/>
      </rPr>
      <t>바로</t>
    </r>
    <r>
      <rPr>
        <sz val="9"/>
        <color theme="1"/>
        <rFont val="Calibri"/>
        <family val="2"/>
      </rPr>
      <t xml:space="preserve"> </t>
    </r>
    <r>
      <rPr>
        <sz val="9"/>
        <color theme="1"/>
        <rFont val="맑은 고딕"/>
        <family val="3"/>
        <charset val="129"/>
      </rPr>
      <t>산출물을</t>
    </r>
    <r>
      <rPr>
        <sz val="9"/>
        <color theme="1"/>
        <rFont val="Calibri"/>
        <family val="2"/>
      </rPr>
      <t xml:space="preserve"> </t>
    </r>
    <r>
      <rPr>
        <sz val="9"/>
        <color theme="1"/>
        <rFont val="맑은 고딕"/>
        <family val="3"/>
        <charset val="129"/>
      </rPr>
      <t>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 xml:space="preserve">. </t>
    </r>
    <r>
      <rPr>
        <sz val="9"/>
        <color theme="1"/>
        <rFont val="맑은 고딕"/>
        <family val="3"/>
        <charset val="129"/>
      </rPr>
      <t>리본</t>
    </r>
    <r>
      <rPr>
        <sz val="9"/>
        <color theme="1"/>
        <rFont val="Calibri"/>
        <family val="2"/>
      </rPr>
      <t xml:space="preserve"> </t>
    </r>
    <r>
      <rPr>
        <sz val="9"/>
        <color theme="1"/>
        <rFont val="맑은 고딕"/>
        <family val="3"/>
        <charset val="129"/>
      </rPr>
      <t>메뉴에서</t>
    </r>
    <r>
      <rPr>
        <sz val="9"/>
        <color theme="1"/>
        <rFont val="Calibri"/>
        <family val="2"/>
      </rPr>
      <t xml:space="preserve"> “</t>
    </r>
    <r>
      <rPr>
        <sz val="9"/>
        <color theme="1"/>
        <rFont val="맑은 고딕"/>
        <family val="3"/>
        <charset val="129"/>
      </rPr>
      <t>옵션</t>
    </r>
    <r>
      <rPr>
        <sz val="9"/>
        <color theme="1"/>
        <rFont val="Calibri"/>
        <family val="2"/>
      </rPr>
      <t xml:space="preserve">” </t>
    </r>
    <r>
      <rPr>
        <sz val="9"/>
        <color theme="1"/>
        <rFont val="맑은 고딕"/>
        <family val="3"/>
        <charset val="129"/>
      </rPr>
      <t>버튼을</t>
    </r>
    <r>
      <rPr>
        <sz val="9"/>
        <color theme="1"/>
        <rFont val="Calibri"/>
        <family val="2"/>
      </rPr>
      <t xml:space="preserve"> </t>
    </r>
    <r>
      <rPr>
        <sz val="9"/>
        <color theme="1"/>
        <rFont val="맑은 고딕"/>
        <family val="3"/>
        <charset val="129"/>
      </rPr>
      <t>클릭하면</t>
    </r>
    <r>
      <rPr>
        <sz val="9"/>
        <color theme="1"/>
        <rFont val="Calibri"/>
        <family val="2"/>
      </rPr>
      <t xml:space="preserve">  “</t>
    </r>
    <r>
      <rPr>
        <sz val="9"/>
        <color theme="1"/>
        <rFont val="맑은 고딕"/>
        <family val="3"/>
        <charset val="129"/>
      </rPr>
      <t>산출물</t>
    </r>
    <r>
      <rPr>
        <sz val="9"/>
        <color theme="1"/>
        <rFont val="Calibri"/>
        <family val="2"/>
      </rPr>
      <t>”</t>
    </r>
    <r>
      <rPr>
        <sz val="9"/>
        <color theme="1"/>
        <rFont val="맑은 고딕"/>
        <family val="3"/>
        <charset val="129"/>
      </rPr>
      <t>과</t>
    </r>
    <r>
      <rPr>
        <sz val="9"/>
        <color theme="1"/>
        <rFont val="Calibri"/>
        <family val="2"/>
      </rPr>
      <t xml:space="preserve"> </t>
    </r>
    <r>
      <rPr>
        <sz val="9"/>
        <color theme="1"/>
        <rFont val="맑은 고딕"/>
        <family val="3"/>
        <charset val="129"/>
      </rPr>
      <t>관련된</t>
    </r>
    <r>
      <rPr>
        <sz val="9"/>
        <color theme="1"/>
        <rFont val="Calibri"/>
        <family val="2"/>
      </rPr>
      <t xml:space="preserve"> </t>
    </r>
    <r>
      <rPr>
        <sz val="9"/>
        <color theme="1"/>
        <rFont val="맑은 고딕"/>
        <family val="3"/>
        <charset val="129"/>
      </rPr>
      <t>설정을</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</si>
  <si>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t>Standard Calendar</t>
  </si>
  <si>
    <r>
      <rPr>
        <sz val="9"/>
        <color theme="1"/>
        <rFont val="맑은 고딕"/>
        <family val="3"/>
        <charset val="129"/>
      </rPr>
      <t>표준캘린더</t>
    </r>
  </si>
  <si>
    <t>Star(*) marks-required fields</t>
    <phoneticPr fontId="11" type="noConversion"/>
  </si>
  <si>
    <r>
      <rPr>
        <sz val="9"/>
        <color theme="1"/>
        <rFont val="맑은 고딕"/>
        <family val="3"/>
        <charset val="129"/>
      </rPr>
      <t>별</t>
    </r>
    <r>
      <rPr>
        <sz val="9"/>
        <color theme="1"/>
        <rFont val="Calibri"/>
        <family val="2"/>
      </rPr>
      <t>(*)</t>
    </r>
    <r>
      <rPr>
        <sz val="9"/>
        <color theme="1"/>
        <rFont val="맑은 고딕"/>
        <family val="3"/>
        <charset val="129"/>
      </rPr>
      <t>표시는</t>
    </r>
    <r>
      <rPr>
        <sz val="9"/>
        <color theme="1"/>
        <rFont val="Calibri"/>
        <family val="2"/>
      </rPr>
      <t xml:space="preserve"> </t>
    </r>
    <r>
      <rPr>
        <sz val="9"/>
        <color theme="1"/>
        <rFont val="맑은 고딕"/>
        <family val="3"/>
        <charset val="129"/>
      </rPr>
      <t>필수입력</t>
    </r>
    <phoneticPr fontId="11" type="noConversion"/>
  </si>
  <si>
    <t>Start</t>
  </si>
  <si>
    <r>
      <rPr>
        <sz val="9"/>
        <color theme="1"/>
        <rFont val="맑은 고딕"/>
        <family val="3"/>
        <charset val="129"/>
      </rPr>
      <t>시작일</t>
    </r>
  </si>
  <si>
    <t>Start Date</t>
  </si>
  <si>
    <r>
      <rPr>
        <sz val="9"/>
        <color theme="1"/>
        <rFont val="맑은 고딕"/>
        <family val="3"/>
        <charset val="129"/>
      </rPr>
      <t>시작일자</t>
    </r>
  </si>
  <si>
    <t>Start date field of a task. It must be in date format.</t>
  </si>
  <si>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시작일을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</si>
  <si>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t>Start date is invalid.</t>
  </si>
  <si>
    <r>
      <rPr>
        <sz val="9"/>
        <color theme="1"/>
        <rFont val="맑은 고딕"/>
        <family val="3"/>
        <charset val="129"/>
      </rPr>
      <t>작업시작일의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</si>
  <si>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t>Start date is invalid. Verify row {} of the source file.</t>
  </si>
  <si>
    <r>
      <rPr>
        <sz val="9"/>
        <color theme="1"/>
        <rFont val="맑은 고딕"/>
        <family val="3"/>
        <charset val="129"/>
      </rPr>
      <t>시작일자에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</si>
  <si>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t>Started as planned</t>
    <phoneticPr fontId="11" type="noConversion"/>
  </si>
  <si>
    <r>
      <rPr>
        <sz val="9"/>
        <color theme="1"/>
        <rFont val="맑은 고딕"/>
        <family val="3"/>
        <charset val="129"/>
      </rPr>
      <t>계획과</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날짜에</t>
    </r>
    <r>
      <rPr>
        <sz val="9"/>
        <color theme="1"/>
        <rFont val="Calibri"/>
        <family val="2"/>
      </rPr>
      <t xml:space="preserve"> </t>
    </r>
    <r>
      <rPr>
        <sz val="9"/>
        <color theme="1"/>
        <rFont val="맑은 고딕"/>
        <family val="3"/>
        <charset val="129"/>
      </rPr>
      <t>시작됨</t>
    </r>
    <phoneticPr fontId="11" type="noConversion"/>
  </si>
  <si>
    <t>Started earlier than planned</t>
    <phoneticPr fontId="11" type="noConversion"/>
  </si>
  <si>
    <r>
      <rPr>
        <sz val="9"/>
        <color theme="1"/>
        <rFont val="맑은 고딕"/>
        <family val="3"/>
        <charset val="129"/>
      </rPr>
      <t>계획보다</t>
    </r>
    <r>
      <rPr>
        <sz val="9"/>
        <color theme="1"/>
        <rFont val="Calibri"/>
        <family val="2"/>
      </rPr>
      <t xml:space="preserve"> </t>
    </r>
    <r>
      <rPr>
        <sz val="9"/>
        <color theme="1"/>
        <rFont val="맑은 고딕"/>
        <family val="3"/>
        <charset val="129"/>
      </rPr>
      <t>일찍</t>
    </r>
    <r>
      <rPr>
        <sz val="9"/>
        <color theme="1"/>
        <rFont val="Calibri"/>
        <family val="2"/>
      </rPr>
      <t xml:space="preserve"> </t>
    </r>
    <r>
      <rPr>
        <sz val="9"/>
        <color theme="1"/>
        <rFont val="맑은 고딕"/>
        <family val="3"/>
        <charset val="129"/>
      </rPr>
      <t>시작됨</t>
    </r>
    <phoneticPr fontId="11" type="noConversion"/>
  </si>
  <si>
    <t>Started later than planned</t>
    <phoneticPr fontId="11" type="noConversion"/>
  </si>
  <si>
    <r>
      <rPr>
        <sz val="9"/>
        <color theme="1"/>
        <rFont val="맑은 고딕"/>
        <family val="3"/>
        <charset val="129"/>
      </rPr>
      <t>계획보다</t>
    </r>
    <r>
      <rPr>
        <sz val="9"/>
        <color theme="1"/>
        <rFont val="Calibri"/>
        <family val="2"/>
      </rPr>
      <t xml:space="preserve"> </t>
    </r>
    <r>
      <rPr>
        <sz val="9"/>
        <color theme="1"/>
        <rFont val="맑은 고딕"/>
        <family val="3"/>
        <charset val="129"/>
      </rPr>
      <t>늦게</t>
    </r>
    <r>
      <rPr>
        <sz val="9"/>
        <color theme="1"/>
        <rFont val="Calibri"/>
        <family val="2"/>
      </rPr>
      <t xml:space="preserve"> </t>
    </r>
    <r>
      <rPr>
        <sz val="9"/>
        <color theme="1"/>
        <rFont val="맑은 고딕"/>
        <family val="3"/>
        <charset val="129"/>
      </rPr>
      <t>시작됨</t>
    </r>
    <phoneticPr fontId="11" type="noConversion"/>
  </si>
  <si>
    <t>Start-Finish</t>
  </si>
  <si>
    <r>
      <rPr>
        <sz val="9"/>
        <color theme="1"/>
        <rFont val="맑은 고딕"/>
        <family val="3"/>
        <charset val="129"/>
      </rPr>
      <t>시작일</t>
    </r>
    <r>
      <rPr>
        <sz val="9"/>
        <color theme="1"/>
        <rFont val="Calibri"/>
        <family val="2"/>
      </rPr>
      <t>-</t>
    </r>
    <r>
      <rPr>
        <sz val="9"/>
        <color theme="1"/>
        <rFont val="맑은 고딕"/>
        <family val="3"/>
        <charset val="129"/>
      </rPr>
      <t>완료일</t>
    </r>
  </si>
  <si>
    <t>Successfully imported.</t>
    <phoneticPr fontId="11" type="noConversion"/>
  </si>
  <si>
    <r>
      <rPr>
        <sz val="9"/>
        <color theme="1"/>
        <rFont val="맑은 고딕"/>
        <family val="3"/>
        <charset val="129"/>
      </rPr>
      <t>가져오기가</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완료되었습니다</t>
    </r>
    <r>
      <rPr>
        <sz val="9"/>
        <color theme="1"/>
        <rFont val="Calibri"/>
        <family val="2"/>
      </rPr>
      <t>.</t>
    </r>
    <phoneticPr fontId="11" type="noConversion"/>
  </si>
  <si>
    <t>Sun</t>
  </si>
  <si>
    <r>
      <rPr>
        <sz val="9"/>
        <color theme="1"/>
        <rFont val="맑은 고딕"/>
        <family val="3"/>
        <charset val="129"/>
      </rPr>
      <t>일</t>
    </r>
  </si>
  <si>
    <t>System 1</t>
    <phoneticPr fontId="11" type="noConversion"/>
  </si>
  <si>
    <r>
      <rPr>
        <sz val="9"/>
        <color theme="1"/>
        <rFont val="맑은 고딕"/>
        <family val="3"/>
        <charset val="129"/>
      </rPr>
      <t>체계</t>
    </r>
    <r>
      <rPr>
        <sz val="9"/>
        <color theme="1"/>
        <rFont val="Calibri"/>
        <family val="2"/>
      </rPr>
      <t xml:space="preserve"> 1</t>
    </r>
    <phoneticPr fontId="11" type="noConversion"/>
  </si>
  <si>
    <t>System 2</t>
    <phoneticPr fontId="11" type="noConversion"/>
  </si>
  <si>
    <r>
      <rPr>
        <sz val="9"/>
        <color theme="1"/>
        <rFont val="맑은 고딕"/>
        <family val="3"/>
        <charset val="129"/>
      </rPr>
      <t>체계</t>
    </r>
    <r>
      <rPr>
        <sz val="9"/>
        <color theme="1"/>
        <rFont val="Calibri"/>
        <family val="2"/>
      </rPr>
      <t xml:space="preserve"> 2</t>
    </r>
  </si>
  <si>
    <t>Task</t>
  </si>
  <si>
    <r>
      <rPr>
        <sz val="9"/>
        <color theme="1"/>
        <rFont val="맑은 고딕"/>
        <family val="3"/>
        <charset val="129"/>
      </rPr>
      <t>작업</t>
    </r>
    <phoneticPr fontId="11" type="noConversion"/>
  </si>
  <si>
    <t>Task area was not selected. Please select a task area.</t>
  </si>
  <si>
    <r>
      <rPr>
        <sz val="9"/>
        <color theme="1"/>
        <rFont val="맑은 고딕"/>
        <family val="3"/>
        <charset val="129"/>
      </rPr>
      <t>작업영역이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 xml:space="preserve">. </t>
    </r>
    <r>
      <rPr>
        <sz val="9"/>
        <color theme="1"/>
        <rFont val="맑은 고딕"/>
        <family val="3"/>
        <charset val="129"/>
      </rPr>
      <t>영역을</t>
    </r>
    <r>
      <rPr>
        <sz val="9"/>
        <color theme="1"/>
        <rFont val="Calibri"/>
        <family val="2"/>
      </rPr>
      <t xml:space="preserve"> </t>
    </r>
    <r>
      <rPr>
        <sz val="9"/>
        <color theme="1"/>
        <rFont val="맑은 고딕"/>
        <family val="3"/>
        <charset val="129"/>
      </rPr>
      <t>선택하세요</t>
    </r>
    <r>
      <rPr>
        <sz val="9"/>
        <color theme="1"/>
        <rFont val="Calibri"/>
        <family val="2"/>
      </rPr>
      <t>.</t>
    </r>
  </si>
  <si>
    <t>Enter tasks, Update schedule</t>
    <phoneticPr fontId="11" type="noConversion"/>
  </si>
  <si>
    <r>
      <rPr>
        <sz val="9"/>
        <color theme="1"/>
        <rFont val="맑은 고딕"/>
        <family val="3"/>
        <charset val="129"/>
      </rPr>
      <t>작업입력</t>
    </r>
    <r>
      <rPr>
        <sz val="9"/>
        <color theme="1"/>
        <rFont val="Calibri"/>
        <family val="2"/>
      </rPr>
      <t xml:space="preserve">, </t>
    </r>
    <r>
      <rPr>
        <sz val="9"/>
        <color theme="1"/>
        <rFont val="맑은 고딕"/>
        <family val="3"/>
        <charset val="129"/>
      </rPr>
      <t>스케줄</t>
    </r>
    <r>
      <rPr>
        <sz val="9"/>
        <color theme="1"/>
        <rFont val="Calibri"/>
        <family val="2"/>
      </rPr>
      <t xml:space="preserve"> </t>
    </r>
    <r>
      <rPr>
        <sz val="9"/>
        <color theme="1"/>
        <rFont val="맑은 고딕"/>
        <family val="3"/>
        <charset val="129"/>
      </rPr>
      <t>업데이트</t>
    </r>
  </si>
  <si>
    <t>Task Name</t>
  </si>
  <si>
    <r>
      <rPr>
        <sz val="9"/>
        <color theme="1"/>
        <rFont val="맑은 고딕"/>
        <family val="3"/>
        <charset val="129"/>
      </rPr>
      <t>작업명</t>
    </r>
  </si>
  <si>
    <t>Task name field.It's also referred to as "Work" or "Activity" or etc.</t>
  </si>
  <si>
    <r>
      <rPr>
        <sz val="9"/>
        <color theme="1"/>
        <rFont val="맑은 고딕"/>
        <family val="3"/>
        <charset val="129"/>
      </rPr>
      <t>작업명</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이름</t>
    </r>
    <r>
      <rPr>
        <sz val="9"/>
        <color theme="1"/>
        <rFont val="Calibri"/>
        <family val="2"/>
      </rPr>
      <t>, Task, Activity</t>
    </r>
    <r>
      <rPr>
        <sz val="9"/>
        <color theme="1"/>
        <rFont val="맑은 고딕"/>
        <family val="3"/>
        <charset val="129"/>
      </rPr>
      <t>등</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이름으로</t>
    </r>
    <r>
      <rPr>
        <sz val="9"/>
        <color theme="1"/>
        <rFont val="Calibri"/>
        <family val="2"/>
      </rPr>
      <t xml:space="preserve"> </t>
    </r>
    <r>
      <rPr>
        <sz val="9"/>
        <color theme="1"/>
        <rFont val="맑은 고딕"/>
        <family val="3"/>
        <charset val="129"/>
      </rPr>
      <t>불리기도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에</t>
    </r>
    <r>
      <rPr>
        <sz val="9"/>
        <color theme="1"/>
        <rFont val="Calibri"/>
        <family val="2"/>
      </rPr>
      <t xml:space="preserve"> </t>
    </r>
    <r>
      <rPr>
        <sz val="9"/>
        <color theme="1"/>
        <rFont val="맑은 고딕"/>
        <family val="3"/>
        <charset val="129"/>
      </rPr>
      <t>따라</t>
    </r>
    <r>
      <rPr>
        <sz val="9"/>
        <color theme="1"/>
        <rFont val="Calibri"/>
        <family val="2"/>
      </rPr>
      <t xml:space="preserve"> </t>
    </r>
    <r>
      <rPr>
        <sz val="9"/>
        <color theme="1"/>
        <rFont val="맑은 고딕"/>
        <family val="3"/>
        <charset val="129"/>
      </rPr>
      <t>표시하는</t>
    </r>
    <r>
      <rPr>
        <sz val="9"/>
        <color theme="1"/>
        <rFont val="Calibri"/>
        <family val="2"/>
      </rPr>
      <t xml:space="preserve"> </t>
    </r>
    <r>
      <rPr>
        <sz val="9"/>
        <color theme="1"/>
        <rFont val="맑은 고딕"/>
        <family val="3"/>
        <charset val="129"/>
      </rPr>
      <t>방식이</t>
    </r>
    <r>
      <rPr>
        <sz val="9"/>
        <color theme="1"/>
        <rFont val="Calibri"/>
        <family val="2"/>
      </rPr>
      <t xml:space="preserve"> </t>
    </r>
    <r>
      <rPr>
        <sz val="9"/>
        <color theme="1"/>
        <rFont val="맑은 고딕"/>
        <family val="3"/>
        <charset val="129"/>
      </rPr>
      <t>다를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Level</t>
    </r>
    <r>
      <rPr>
        <sz val="9"/>
        <color theme="1"/>
        <rFont val="맑은 고딕"/>
        <family val="3"/>
        <charset val="129"/>
      </rPr>
      <t>별로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작업명이</t>
    </r>
    <r>
      <rPr>
        <sz val="9"/>
        <color theme="1"/>
        <rFont val="Calibri"/>
        <family val="2"/>
      </rPr>
      <t xml:space="preserve"> </t>
    </r>
    <r>
      <rPr>
        <sz val="9"/>
        <color theme="1"/>
        <rFont val="맑은 고딕"/>
        <family val="3"/>
        <charset val="129"/>
      </rPr>
      <t>표시되는</t>
    </r>
    <r>
      <rPr>
        <sz val="9"/>
        <color theme="1"/>
        <rFont val="Calibri"/>
        <family val="2"/>
      </rPr>
      <t xml:space="preserve"> </t>
    </r>
    <r>
      <rPr>
        <sz val="9"/>
        <color theme="1"/>
        <rFont val="맑은 고딕"/>
        <family val="3"/>
        <charset val="129"/>
      </rPr>
      <t>경우에는</t>
    </r>
    <r>
      <rPr>
        <sz val="9"/>
        <color theme="1"/>
        <rFont val="Calibri"/>
        <family val="2"/>
      </rPr>
      <t xml:space="preserve"> 1 Level </t>
    </r>
    <r>
      <rPr>
        <sz val="9"/>
        <color theme="1"/>
        <rFont val="맑은 고딕"/>
        <family val="3"/>
        <charset val="129"/>
      </rPr>
      <t>필드만</t>
    </r>
    <r>
      <rPr>
        <sz val="9"/>
        <color theme="1"/>
        <rFont val="Calibri"/>
        <family val="2"/>
      </rPr>
      <t xml:space="preserve"> Traget</t>
    </r>
    <r>
      <rPr>
        <sz val="9"/>
        <color theme="1"/>
        <rFont val="맑은 고딕"/>
        <family val="3"/>
        <charset val="129"/>
      </rPr>
      <t>파일의</t>
    </r>
    <r>
      <rPr>
        <sz val="9"/>
        <color theme="1"/>
        <rFont val="Calibri"/>
        <family val="2"/>
      </rPr>
      <t xml:space="preserve"> "</t>
    </r>
    <r>
      <rPr>
        <sz val="9"/>
        <color theme="1"/>
        <rFont val="맑은 고딕"/>
        <family val="3"/>
        <charset val="129"/>
      </rPr>
      <t>작업명</t>
    </r>
    <r>
      <rPr>
        <sz val="9"/>
        <color theme="1"/>
        <rFont val="Calibri"/>
        <family val="2"/>
      </rPr>
      <t>"</t>
    </r>
    <r>
      <rPr>
        <sz val="9"/>
        <color theme="1"/>
        <rFont val="맑은 고딕"/>
        <family val="3"/>
        <charset val="129"/>
      </rPr>
      <t>필드와</t>
    </r>
    <r>
      <rPr>
        <sz val="9"/>
        <color theme="1"/>
        <rFont val="Calibri"/>
        <family val="2"/>
      </rPr>
      <t xml:space="preserve"> Mapping</t>
    </r>
    <r>
      <rPr>
        <sz val="9"/>
        <color theme="1"/>
        <rFont val="맑은 고딕"/>
        <family val="3"/>
        <charset val="129"/>
      </rPr>
      <t>하면</t>
    </r>
    <r>
      <rPr>
        <sz val="9"/>
        <color theme="1"/>
        <rFont val="Calibri"/>
        <family val="2"/>
      </rPr>
      <t xml:space="preserve"> </t>
    </r>
    <r>
      <rPr>
        <sz val="9"/>
        <color theme="1"/>
        <rFont val="맑은 고딕"/>
        <family val="3"/>
        <charset val="129"/>
      </rPr>
      <t>됩니다</t>
    </r>
    <r>
      <rPr>
        <sz val="9"/>
        <color theme="1"/>
        <rFont val="Calibri"/>
        <family val="2"/>
      </rPr>
      <t>.</t>
    </r>
  </si>
  <si>
    <t>Task(Task name or Name) is missing.</t>
  </si>
  <si>
    <r>
      <t>Task(</t>
    </r>
    <r>
      <rPr>
        <sz val="9"/>
        <color theme="1"/>
        <rFont val="맑은 고딕"/>
        <family val="3"/>
        <charset val="129"/>
      </rPr>
      <t>작업명</t>
    </r>
    <r>
      <rPr>
        <sz val="9"/>
        <color theme="1"/>
        <rFont val="Calibri"/>
        <family val="2"/>
      </rPr>
      <t xml:space="preserve">, </t>
    </r>
    <r>
      <rPr>
        <sz val="9"/>
        <color theme="1"/>
        <rFont val="맑은 고딕"/>
        <family val="3"/>
        <charset val="129"/>
      </rPr>
      <t>이름</t>
    </r>
    <r>
      <rPr>
        <sz val="9"/>
        <color theme="1"/>
        <rFont val="Calibri"/>
        <family val="2"/>
      </rPr>
      <t xml:space="preserve"> </t>
    </r>
    <r>
      <rPr>
        <sz val="9"/>
        <color theme="1"/>
        <rFont val="맑은 고딕"/>
        <family val="3"/>
        <charset val="129"/>
      </rPr>
      <t>등</t>
    </r>
    <r>
      <rPr>
        <sz val="9"/>
        <color theme="1"/>
        <rFont val="Calibri"/>
        <family val="2"/>
      </rPr>
      <t>)</t>
    </r>
    <r>
      <rPr>
        <sz val="9"/>
        <color theme="1"/>
        <rFont val="맑은 고딕"/>
        <family val="3"/>
        <charset val="129"/>
      </rPr>
      <t>는</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입력되어야</t>
    </r>
    <r>
      <rPr>
        <sz val="9"/>
        <color theme="1"/>
        <rFont val="Calibri"/>
        <family val="2"/>
      </rPr>
      <t xml:space="preserve"> </t>
    </r>
    <r>
      <rPr>
        <sz val="9"/>
        <color theme="1"/>
        <rFont val="맑은 고딕"/>
        <family val="3"/>
        <charset val="129"/>
      </rPr>
      <t>합니다</t>
    </r>
    <r>
      <rPr>
        <sz val="9"/>
        <color theme="1"/>
        <rFont val="Calibri"/>
        <family val="2"/>
      </rPr>
      <t>.</t>
    </r>
  </si>
  <si>
    <t>The "%Work Complete" column has been deleted. Please retry after changing the sheet to its previous state.</t>
  </si>
  <si>
    <r>
      <rPr>
        <sz val="9"/>
        <color theme="1"/>
        <rFont val="맑은 고딕"/>
        <family val="3"/>
        <charset val="129"/>
      </rPr>
      <t>실적진척율</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</si>
  <si>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t>The "%Work Complete" of row number {1} in the {2} sheet is not a number.</t>
  </si>
  <si>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실적진척율이</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아닙니다</t>
    </r>
    <r>
      <rPr>
        <sz val="9"/>
        <color theme="1"/>
        <rFont val="Calibri"/>
        <family val="2"/>
      </rPr>
      <t>.</t>
    </r>
  </si>
  <si>
    <t>The "Actual Finish Date" column has been deleted. Please retry after changing the sheet to its previous state.</t>
  </si>
  <si>
    <r>
      <rPr>
        <sz val="9"/>
        <color theme="1"/>
        <rFont val="맑은 고딕"/>
        <family val="3"/>
        <charset val="129"/>
      </rPr>
      <t>실제완료일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</si>
  <si>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t>The "Actual Start Date" column has been deleted. Please retry after changing the sheet to its previous state.</t>
  </si>
  <si>
    <r>
      <rPr>
        <sz val="9"/>
        <color theme="1"/>
        <rFont val="맑은 고딕"/>
        <family val="3"/>
        <charset val="129"/>
      </rPr>
      <t>실제시작일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</si>
  <si>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t>The "Actual Total Duration" column has been deleted. Please retry after changing the sheet to its previous state.</t>
  </si>
  <si>
    <r>
      <rPr>
        <sz val="9"/>
        <color theme="1"/>
        <rFont val="맑은 고딕"/>
        <family val="3"/>
        <charset val="129"/>
      </rPr>
      <t>실제총기간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</si>
  <si>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t>The "Actual Total Work" column has been deleted. Please retry after changing the sheet to its previous state.</t>
  </si>
  <si>
    <r>
      <rPr>
        <sz val="9"/>
        <color theme="1"/>
        <rFont val="맑은 고딕"/>
        <family val="3"/>
        <charset val="129"/>
      </rPr>
      <t>실제총작업량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</si>
  <si>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t>The "Calendar" column has been deleted. Please retry after changing the sheet to its previous state.</t>
  </si>
  <si>
    <r>
      <t xml:space="preserve">Calendar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</si>
  <si>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t>The "Deliverables" column has been deleted. Please retry after changing the sheet to its previous state.</t>
  </si>
  <si>
    <r>
      <rPr>
        <sz val="9"/>
        <color theme="1"/>
        <rFont val="맑은 고딕"/>
        <family val="3"/>
        <charset val="129"/>
      </rPr>
      <t>산출물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</si>
  <si>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t>The "Finish Date" column has been deleted. Please retry after changing the sheet to its previous state.</t>
  </si>
  <si>
    <r>
      <rPr>
        <sz val="9"/>
        <color theme="1"/>
        <rFont val="맑은 고딕"/>
        <family val="3"/>
        <charset val="129"/>
      </rPr>
      <t>완료일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</si>
  <si>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t>The "Note" column has been deleted. Please retry after changing the sheet to its previous state.</t>
  </si>
  <si>
    <r>
      <rPr>
        <sz val="9"/>
        <color theme="1"/>
        <rFont val="맑은 고딕"/>
        <family val="3"/>
        <charset val="129"/>
      </rPr>
      <t>비고</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</si>
  <si>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t>The "Planned %Work Complete" column has been deleted. Please retry after changing the sheet to its previous state.</t>
  </si>
  <si>
    <r>
      <rPr>
        <sz val="9"/>
        <color theme="1"/>
        <rFont val="맑은 고딕"/>
        <family val="3"/>
        <charset val="129"/>
      </rPr>
      <t>계획진척율</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</si>
  <si>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t>The "Planned Duration" column has been deleted. Please retry after changing the sheet to its previous state.</t>
  </si>
  <si>
    <r>
      <rPr>
        <sz val="9"/>
        <color theme="1"/>
        <rFont val="맑은 고딕"/>
        <family val="3"/>
        <charset val="129"/>
      </rPr>
      <t>계획기간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</si>
  <si>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t>The "Planned Work" column has been deleted. Please retry after changing the sheet to its previous state.</t>
  </si>
  <si>
    <r>
      <rPr>
        <sz val="9"/>
        <color theme="1"/>
        <rFont val="맑은 고딕"/>
        <family val="3"/>
        <charset val="129"/>
      </rPr>
      <t>계획작업량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</si>
  <si>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t>The "Resources" column has been deleted. Please retry after changing the sheet to its previous state.</t>
  </si>
  <si>
    <r>
      <rPr>
        <sz val="9"/>
        <color theme="1"/>
        <rFont val="맑은 고딕"/>
        <family val="3"/>
        <charset val="129"/>
      </rPr>
      <t>담당</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</si>
  <si>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t>The "Start Date" column has been deleted. Please retry after changing the sheet to its previous state.</t>
  </si>
  <si>
    <r>
      <rPr>
        <sz val="9"/>
        <color theme="1"/>
        <rFont val="맑은 고딕"/>
        <family val="3"/>
        <charset val="129"/>
      </rPr>
      <t>시작일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</si>
  <si>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t>The "Task" column has been deleted. Please retry after changing the sheet to its previous state.</t>
  </si>
  <si>
    <r>
      <rPr>
        <sz val="9"/>
        <color theme="1"/>
        <rFont val="맑은 고딕"/>
        <family val="3"/>
        <charset val="129"/>
      </rPr>
      <t>작업</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</si>
  <si>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t>The "Total Duration" column has been deleted. Please retry after changing the sheet to its previous state.</t>
  </si>
  <si>
    <r>
      <rPr>
        <sz val="9"/>
        <color theme="1"/>
        <rFont val="맑은 고딕"/>
        <family val="3"/>
        <charset val="129"/>
      </rPr>
      <t>총기간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</si>
  <si>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t>The "Total Work" column has been deleted. Please retry after changing the sheet to its previous state.</t>
  </si>
  <si>
    <r>
      <rPr>
        <sz val="9"/>
        <color theme="1"/>
        <rFont val="맑은 고딕"/>
        <family val="3"/>
        <charset val="129"/>
      </rPr>
      <t>총작업량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</si>
  <si>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t>The "WBS Level" column has been deleted. Please retry after changing the sheet to its previous state.</t>
  </si>
  <si>
    <r>
      <t xml:space="preserve">WBS Level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</si>
  <si>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t>The "WBS" column has been deleted. Please retry after changing the sheet to its previous state.</t>
  </si>
  <si>
    <r>
      <t xml:space="preserve">WBS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</si>
  <si>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t>The "Weight" column has been deleted. Please retry after changing the sheet to its previous state.</t>
  </si>
  <si>
    <r>
      <rPr>
        <sz val="9"/>
        <color theme="1"/>
        <rFont val="맑은 고딕"/>
        <family val="3"/>
        <charset val="129"/>
      </rPr>
      <t>가중치</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</si>
  <si>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t>The {} sheet does not exist. Please check that you changed or deleted the sheet.</t>
  </si>
  <si>
    <r>
      <t>{} sheet</t>
    </r>
    <r>
      <rPr>
        <sz val="9"/>
        <color theme="1"/>
        <rFont val="맑은 고딕"/>
        <family val="3"/>
        <charset val="129"/>
      </rPr>
      <t>가</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r>
      <rPr>
        <sz val="9"/>
        <color theme="1"/>
        <rFont val="Calibri"/>
        <family val="2"/>
      </rPr>
      <t xml:space="preserve">. </t>
    </r>
    <r>
      <rPr>
        <sz val="9"/>
        <color theme="1"/>
        <rFont val="맑은 고딕"/>
        <family val="3"/>
        <charset val="129"/>
      </rPr>
      <t>이름을</t>
    </r>
    <r>
      <rPr>
        <sz val="9"/>
        <color theme="1"/>
        <rFont val="Calibri"/>
        <family val="2"/>
      </rPr>
      <t xml:space="preserve"> </t>
    </r>
    <r>
      <rPr>
        <sz val="9"/>
        <color theme="1"/>
        <rFont val="맑은 고딕"/>
        <family val="3"/>
        <charset val="129"/>
      </rPr>
      <t>변경하거나</t>
    </r>
    <r>
      <rPr>
        <sz val="9"/>
        <color theme="1"/>
        <rFont val="Calibri"/>
        <family val="2"/>
      </rPr>
      <t xml:space="preserve"> </t>
    </r>
    <r>
      <rPr>
        <sz val="9"/>
        <color theme="1"/>
        <rFont val="맑은 고딕"/>
        <family val="3"/>
        <charset val="129"/>
      </rPr>
      <t>삭제했는지</t>
    </r>
    <r>
      <rPr>
        <sz val="9"/>
        <color theme="1"/>
        <rFont val="Calibri"/>
        <family val="2"/>
      </rPr>
      <t xml:space="preserve"> </t>
    </r>
    <r>
      <rPr>
        <sz val="9"/>
        <color theme="1"/>
        <rFont val="맑은 고딕"/>
        <family val="3"/>
        <charset val="129"/>
      </rPr>
      <t>확인하세요</t>
    </r>
    <r>
      <rPr>
        <sz val="9"/>
        <color theme="1"/>
        <rFont val="Calibri"/>
        <family val="2"/>
      </rPr>
      <t>.</t>
    </r>
  </si>
  <si>
    <t>The {} sheet does not exist. Please check that you have changed or deleted the sheet.</t>
  </si>
  <si>
    <t>The actual finish date format of row number {1} in the {2} sheet is invalid.</t>
  </si>
  <si>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실제완료일이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</si>
  <si>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t>The actual finish date of the row number {1} in the {2} sheet was entered, but the actual start date is empty.</t>
  </si>
  <si>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비어있고</t>
    </r>
    <r>
      <rPr>
        <sz val="9"/>
        <color theme="1"/>
        <rFont val="Calibri"/>
        <family val="2"/>
      </rPr>
      <t xml:space="preserve"> </t>
    </r>
    <r>
      <rPr>
        <sz val="9"/>
        <color theme="1"/>
        <rFont val="맑은 고딕"/>
        <family val="3"/>
        <charset val="129"/>
      </rPr>
      <t>실제완료일만</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있습니다</t>
    </r>
    <r>
      <rPr>
        <sz val="9"/>
        <color theme="1"/>
        <rFont val="Calibri"/>
        <family val="2"/>
      </rPr>
      <t>.</t>
    </r>
  </si>
  <si>
    <t>The actual start date format of row number {1} in the {2} sheet is invalid.</t>
  </si>
  <si>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</si>
  <si>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t>The actual start date of row number {1} in the {2} sheet is later than the actual finish date.</t>
  </si>
  <si>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실제완료일보다</t>
    </r>
    <r>
      <rPr>
        <sz val="9"/>
        <color theme="1"/>
        <rFont val="Calibri"/>
        <family val="2"/>
      </rPr>
      <t xml:space="preserve"> </t>
    </r>
    <r>
      <rPr>
        <sz val="9"/>
        <color theme="1"/>
        <rFont val="맑은 고딕"/>
        <family val="3"/>
        <charset val="129"/>
      </rPr>
      <t>큽니다</t>
    </r>
    <r>
      <rPr>
        <sz val="9"/>
        <color theme="1"/>
        <rFont val="Calibri"/>
        <family val="2"/>
      </rPr>
      <t>.</t>
    </r>
  </si>
  <si>
    <t>The actual start date of row number {1} in the {2} sheet is out of the project duration.</t>
  </si>
  <si>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</si>
  <si>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t>The actual start or finish date of row number {1} in the {2} sheet is out of the project duration.</t>
  </si>
  <si>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실젝</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</si>
  <si>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t>The count of level</t>
  </si>
  <si>
    <r>
      <t>Level</t>
    </r>
    <r>
      <rPr>
        <sz val="9"/>
        <color theme="1"/>
        <rFont val="맑은 고딕"/>
        <family val="3"/>
        <charset val="129"/>
      </rPr>
      <t>의</t>
    </r>
    <r>
      <rPr>
        <sz val="9"/>
        <color theme="1"/>
        <rFont val="Calibri"/>
        <family val="2"/>
      </rPr>
      <t xml:space="preserve"> </t>
    </r>
    <r>
      <rPr>
        <sz val="9"/>
        <color theme="1"/>
        <rFont val="맑은 고딕"/>
        <family val="3"/>
        <charset val="129"/>
      </rPr>
      <t>갯수</t>
    </r>
  </si>
  <si>
    <t>The date field of row number {1} in the {2} sheet was entered, but the task field is empty.\nEnter a value in the task field or clear the date field.</t>
  </si>
  <si>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날짜는</t>
    </r>
    <r>
      <rPr>
        <sz val="9"/>
        <color theme="1"/>
        <rFont val="Calibri"/>
        <family val="2"/>
      </rPr>
      <t xml:space="preserve"> </t>
    </r>
    <r>
      <rPr>
        <sz val="9"/>
        <color theme="1"/>
        <rFont val="맑은 고딕"/>
        <family val="3"/>
        <charset val="129"/>
      </rPr>
      <t>입력되었는데</t>
    </r>
    <r>
      <rPr>
        <sz val="9"/>
        <color theme="1"/>
        <rFont val="Calibri"/>
        <family val="2"/>
      </rPr>
      <t xml:space="preserve"> </t>
    </r>
    <r>
      <rPr>
        <sz val="9"/>
        <color theme="1"/>
        <rFont val="맑은 고딕"/>
        <family val="3"/>
        <charset val="129"/>
      </rPr>
      <t>작업필드가</t>
    </r>
    <r>
      <rPr>
        <sz val="9"/>
        <color theme="1"/>
        <rFont val="Calibri"/>
        <family val="2"/>
      </rPr>
      <t xml:space="preserve"> </t>
    </r>
    <r>
      <rPr>
        <sz val="9"/>
        <color theme="1"/>
        <rFont val="맑은 고딕"/>
        <family val="3"/>
        <charset val="129"/>
      </rPr>
      <t>비어있습니다</t>
    </r>
    <r>
      <rPr>
        <sz val="9"/>
        <color theme="1"/>
        <rFont val="Calibri"/>
        <family val="2"/>
      </rPr>
      <t>.\n</t>
    </r>
    <r>
      <rPr>
        <sz val="9"/>
        <color theme="1"/>
        <rFont val="맑은 고딕"/>
        <family val="3"/>
        <charset val="129"/>
      </rPr>
      <t>작업필드의</t>
    </r>
    <r>
      <rPr>
        <sz val="9"/>
        <color theme="1"/>
        <rFont val="Calibri"/>
        <family val="2"/>
      </rPr>
      <t xml:space="preserve"> </t>
    </r>
    <r>
      <rPr>
        <sz val="9"/>
        <color theme="1"/>
        <rFont val="맑은 고딕"/>
        <family val="3"/>
        <charset val="129"/>
      </rPr>
      <t>값을</t>
    </r>
    <r>
      <rPr>
        <sz val="9"/>
        <color theme="1"/>
        <rFont val="Calibri"/>
        <family val="2"/>
      </rPr>
      <t xml:space="preserve"> </t>
    </r>
    <r>
      <rPr>
        <sz val="9"/>
        <color theme="1"/>
        <rFont val="맑은 고딕"/>
        <family val="3"/>
        <charset val="129"/>
      </rPr>
      <t>채우거나</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지우세요</t>
    </r>
    <r>
      <rPr>
        <sz val="9"/>
        <color theme="1"/>
        <rFont val="Calibri"/>
        <family val="2"/>
      </rPr>
      <t>.</t>
    </r>
  </si>
  <si>
    <t>The deliverables name is empty.</t>
  </si>
  <si>
    <r>
      <rPr>
        <sz val="9"/>
        <color theme="1"/>
        <rFont val="맑은 고딕"/>
        <family val="3"/>
        <charset val="129"/>
      </rPr>
      <t>산출물명이</t>
    </r>
    <r>
      <rPr>
        <sz val="9"/>
        <color theme="1"/>
        <rFont val="Calibri"/>
        <family val="2"/>
      </rPr>
      <t xml:space="preserve"> </t>
    </r>
    <r>
      <rPr>
        <sz val="9"/>
        <color theme="1"/>
        <rFont val="맑은 고딕"/>
        <family val="3"/>
        <charset val="129"/>
      </rPr>
      <t>비어있습니다</t>
    </r>
    <r>
      <rPr>
        <sz val="9"/>
        <color theme="1"/>
        <rFont val="Calibri"/>
        <family val="2"/>
      </rPr>
      <t>.</t>
    </r>
  </si>
  <si>
    <t>The earliest start date({1}) of the tasks is earlier than the start date({2}) of the project.\n\nIn this case, there may be problems with resource calculations. Please change the start date to valid date.</t>
  </si>
  <si>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시작일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빠릅니다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</si>
  <si>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t>The finish date format of row number {1} in the {2} sheet is invalid.</t>
  </si>
  <si>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</si>
  <si>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t>The first column of Gantt area has been deleted. Please retry after changing the sheet to its previous state.</t>
  </si>
  <si>
    <r>
      <t>Gantt</t>
    </r>
    <r>
      <rPr>
        <sz val="9"/>
        <color theme="1"/>
        <rFont val="맑은 고딕"/>
        <family val="3"/>
        <charset val="129"/>
      </rPr>
      <t>영역의</t>
    </r>
    <r>
      <rPr>
        <sz val="9"/>
        <color theme="1"/>
        <rFont val="Calibri"/>
        <family val="2"/>
      </rPr>
      <t xml:space="preserve"> </t>
    </r>
    <r>
      <rPr>
        <sz val="9"/>
        <color theme="1"/>
        <rFont val="맑은 고딕"/>
        <family val="3"/>
        <charset val="129"/>
      </rPr>
      <t>첫번째</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</si>
  <si>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t>The following file formats are not supported. You can import files with version 0.9.7 or higher than 0.9.7.</t>
  </si>
  <si>
    <r>
      <rPr>
        <sz val="9"/>
        <color theme="1"/>
        <rFont val="맑은 고딕"/>
        <family val="3"/>
        <charset val="129"/>
      </rPr>
      <t>다음</t>
    </r>
    <r>
      <rPr>
        <sz val="9"/>
        <color theme="1"/>
        <rFont val="Calibri"/>
        <family val="2"/>
      </rPr>
      <t xml:space="preserve"> </t>
    </r>
    <r>
      <rPr>
        <sz val="9"/>
        <color theme="1"/>
        <rFont val="맑은 고딕"/>
        <family val="3"/>
        <charset val="129"/>
      </rPr>
      <t>파일은</t>
    </r>
    <r>
      <rPr>
        <sz val="9"/>
        <color theme="1"/>
        <rFont val="Calibri"/>
        <family val="2"/>
      </rPr>
      <t xml:space="preserve"> </t>
    </r>
    <r>
      <rPr>
        <sz val="9"/>
        <color theme="1"/>
        <rFont val="맑은 고딕"/>
        <family val="3"/>
        <charset val="129"/>
      </rPr>
      <t>지원하지</t>
    </r>
    <r>
      <rPr>
        <sz val="9"/>
        <color theme="1"/>
        <rFont val="Calibri"/>
        <family val="2"/>
      </rPr>
      <t xml:space="preserve"> </t>
    </r>
    <r>
      <rPr>
        <sz val="9"/>
        <color theme="1"/>
        <rFont val="맑은 고딕"/>
        <family val="3"/>
        <charset val="129"/>
      </rPr>
      <t>않는</t>
    </r>
    <r>
      <rPr>
        <sz val="9"/>
        <color theme="1"/>
        <rFont val="Calibri"/>
        <family val="2"/>
      </rPr>
      <t xml:space="preserve"> </t>
    </r>
    <r>
      <rPr>
        <sz val="9"/>
        <color theme="1"/>
        <rFont val="맑은 고딕"/>
        <family val="3"/>
        <charset val="129"/>
      </rPr>
      <t>형식입니다</t>
    </r>
    <r>
      <rPr>
        <sz val="9"/>
        <color theme="1"/>
        <rFont val="Calibri"/>
        <family val="2"/>
      </rPr>
      <t xml:space="preserve">. XLGantt Version 0.9.7 </t>
    </r>
    <r>
      <rPr>
        <sz val="9"/>
        <color theme="1"/>
        <rFont val="맑은 고딕"/>
        <family val="3"/>
        <charset val="129"/>
      </rPr>
      <t>이상</t>
    </r>
    <r>
      <rPr>
        <sz val="9"/>
        <color theme="1"/>
        <rFont val="Calibri"/>
        <family val="2"/>
      </rPr>
      <t xml:space="preserve"> </t>
    </r>
    <r>
      <rPr>
        <sz val="9"/>
        <color theme="1"/>
        <rFont val="맑은 고딕"/>
        <family val="3"/>
        <charset val="129"/>
      </rPr>
      <t>버전만</t>
    </r>
    <r>
      <rPr>
        <sz val="9"/>
        <color theme="1"/>
        <rFont val="Calibri"/>
        <family val="2"/>
      </rPr>
      <t xml:space="preserve"> </t>
    </r>
    <r>
      <rPr>
        <sz val="9"/>
        <color theme="1"/>
        <rFont val="맑은 고딕"/>
        <family val="3"/>
        <charset val="129"/>
      </rPr>
      <t>지원합니다</t>
    </r>
    <r>
      <rPr>
        <sz val="9"/>
        <color theme="1"/>
        <rFont val="Calibri"/>
        <family val="2"/>
      </rPr>
      <t>.</t>
    </r>
  </si>
  <si>
    <t>The following file formats are not supported. You can import the files if the version is 0.9.7 or higher than 0.9.7.</t>
  </si>
  <si>
    <r>
      <rPr>
        <sz val="9"/>
        <color theme="1"/>
        <rFont val="맑은 고딕"/>
        <family val="3"/>
        <charset val="129"/>
      </rPr>
      <t>다음의</t>
    </r>
    <r>
      <rPr>
        <sz val="9"/>
        <color theme="1"/>
        <rFont val="Calibri"/>
        <family val="2"/>
      </rPr>
      <t xml:space="preserve"> XLGantt</t>
    </r>
    <r>
      <rPr>
        <sz val="9"/>
        <color theme="1"/>
        <rFont val="맑은 고딕"/>
        <family val="3"/>
        <charset val="129"/>
      </rPr>
      <t>파일은</t>
    </r>
    <r>
      <rPr>
        <sz val="9"/>
        <color theme="1"/>
        <rFont val="Calibri"/>
        <family val="2"/>
      </rPr>
      <t xml:space="preserve"> </t>
    </r>
    <r>
      <rPr>
        <sz val="9"/>
        <color theme="1"/>
        <rFont val="맑은 고딕"/>
        <family val="3"/>
        <charset val="129"/>
      </rPr>
      <t>지원하지</t>
    </r>
    <r>
      <rPr>
        <sz val="9"/>
        <color theme="1"/>
        <rFont val="Calibri"/>
        <family val="2"/>
      </rPr>
      <t xml:space="preserve"> </t>
    </r>
    <r>
      <rPr>
        <sz val="9"/>
        <color theme="1"/>
        <rFont val="맑은 고딕"/>
        <family val="3"/>
        <charset val="129"/>
      </rPr>
      <t>않는</t>
    </r>
    <r>
      <rPr>
        <sz val="9"/>
        <color theme="1"/>
        <rFont val="Calibri"/>
        <family val="2"/>
      </rPr>
      <t xml:space="preserve"> </t>
    </r>
    <r>
      <rPr>
        <sz val="9"/>
        <color theme="1"/>
        <rFont val="맑은 고딕"/>
        <family val="3"/>
        <charset val="129"/>
      </rPr>
      <t>버전입니다</t>
    </r>
    <r>
      <rPr>
        <sz val="9"/>
        <color theme="1"/>
        <rFont val="Calibri"/>
        <family val="2"/>
      </rPr>
      <t xml:space="preserve">. Version 0.9.7 </t>
    </r>
    <r>
      <rPr>
        <sz val="9"/>
        <color theme="1"/>
        <rFont val="맑은 고딕"/>
        <family val="3"/>
        <charset val="129"/>
      </rPr>
      <t>이상</t>
    </r>
    <r>
      <rPr>
        <sz val="9"/>
        <color theme="1"/>
        <rFont val="Calibri"/>
        <family val="2"/>
      </rPr>
      <t xml:space="preserve"> </t>
    </r>
    <r>
      <rPr>
        <sz val="9"/>
        <color theme="1"/>
        <rFont val="맑은 고딕"/>
        <family val="3"/>
        <charset val="129"/>
      </rPr>
      <t>버전만</t>
    </r>
    <r>
      <rPr>
        <sz val="9"/>
        <color theme="1"/>
        <rFont val="Calibri"/>
        <family val="2"/>
      </rPr>
      <t xml:space="preserve"> </t>
    </r>
    <r>
      <rPr>
        <sz val="9"/>
        <color theme="1"/>
        <rFont val="맑은 고딕"/>
        <family val="3"/>
        <charset val="129"/>
      </rPr>
      <t>지원합니다</t>
    </r>
    <r>
      <rPr>
        <sz val="9"/>
        <color theme="1"/>
        <rFont val="Calibri"/>
        <family val="2"/>
      </rPr>
      <t>.</t>
    </r>
  </si>
  <si>
    <t>The following files have been successfully imported.</t>
  </si>
  <si>
    <r>
      <rPr>
        <sz val="9"/>
        <color theme="1"/>
        <rFont val="맑은 고딕"/>
        <family val="3"/>
        <charset val="129"/>
      </rPr>
      <t>다음</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성공적으로</t>
    </r>
    <r>
      <rPr>
        <sz val="9"/>
        <color theme="1"/>
        <rFont val="Calibri"/>
        <family val="2"/>
      </rPr>
      <t xml:space="preserve"> </t>
    </r>
    <r>
      <rPr>
        <sz val="9"/>
        <color theme="1"/>
        <rFont val="맑은 고딕"/>
        <family val="3"/>
        <charset val="129"/>
      </rPr>
      <t>가져왔습니다</t>
    </r>
    <r>
      <rPr>
        <sz val="9"/>
        <color theme="1"/>
        <rFont val="Calibri"/>
        <family val="2"/>
      </rPr>
      <t>.</t>
    </r>
  </si>
  <si>
    <t>The following folder does not exist.</t>
  </si>
  <si>
    <r>
      <rPr>
        <sz val="9"/>
        <color theme="1"/>
        <rFont val="맑은 고딕"/>
        <family val="3"/>
        <charset val="129"/>
      </rPr>
      <t>다음의</t>
    </r>
    <r>
      <rPr>
        <sz val="9"/>
        <color theme="1"/>
        <rFont val="Calibri"/>
        <family val="2"/>
      </rPr>
      <t xml:space="preserve"> </t>
    </r>
    <r>
      <rPr>
        <sz val="9"/>
        <color theme="1"/>
        <rFont val="맑은 고딕"/>
        <family val="3"/>
        <charset val="129"/>
      </rPr>
      <t>폴더가</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r>
      <rPr>
        <sz val="9"/>
        <color theme="1"/>
        <rFont val="Calibri"/>
        <family val="2"/>
      </rPr>
      <t>.</t>
    </r>
  </si>
  <si>
    <t>The format of "Calculation Base Date of Planned %Work Complete" is invalid.</t>
  </si>
  <si>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</si>
  <si>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t>The format of the project finish date is invalid.</t>
  </si>
  <si>
    <r>
      <rPr>
        <sz val="9"/>
        <color theme="1"/>
        <rFont val="맑은 고딕"/>
        <family val="3"/>
        <charset val="129"/>
      </rPr>
      <t>프로젝트</t>
    </r>
    <r>
      <rPr>
        <sz val="9"/>
        <color theme="1"/>
        <rFont val="Calibri"/>
        <family val="2"/>
      </rPr>
      <t xml:space="preserve"> </t>
    </r>
    <r>
      <rPr>
        <sz val="9"/>
        <color theme="1"/>
        <rFont val="맑은 고딕"/>
        <family val="3"/>
        <charset val="129"/>
      </rPr>
      <t>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</si>
  <si>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t>The format of the project start date is invalid.</t>
  </si>
  <si>
    <r>
      <rPr>
        <sz val="9"/>
        <color theme="1"/>
        <rFont val="맑은 고딕"/>
        <family val="3"/>
        <charset val="129"/>
      </rPr>
      <t>프로젝트</t>
    </r>
    <r>
      <rPr>
        <sz val="9"/>
        <color theme="1"/>
        <rFont val="Calibri"/>
        <family val="2"/>
      </rPr>
      <t xml:space="preserve"> </t>
    </r>
    <r>
      <rPr>
        <sz val="9"/>
        <color theme="1"/>
        <rFont val="맑은 고딕"/>
        <family val="3"/>
        <charset val="129"/>
      </rPr>
      <t>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</si>
  <si>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t>The job was not completed successfully.</t>
  </si>
  <si>
    <r>
      <rPr>
        <sz val="9"/>
        <color theme="1"/>
        <rFont val="맑은 고딕"/>
        <family val="3"/>
        <charset val="129"/>
      </rPr>
      <t>작업이</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완료되지</t>
    </r>
    <r>
      <rPr>
        <sz val="9"/>
        <color theme="1"/>
        <rFont val="Calibri"/>
        <family val="2"/>
      </rPr>
      <t xml:space="preserve"> </t>
    </r>
    <r>
      <rPr>
        <sz val="9"/>
        <color theme="1"/>
        <rFont val="맑은 고딕"/>
        <family val="3"/>
        <charset val="129"/>
      </rPr>
      <t>않았습니다</t>
    </r>
    <r>
      <rPr>
        <sz val="9"/>
        <color theme="1"/>
        <rFont val="Calibri"/>
        <family val="2"/>
      </rPr>
      <t>.</t>
    </r>
  </si>
  <si>
    <t>The kind of period is invalid. You must enter one of the M(Months) or W(Weeks)</t>
  </si>
  <si>
    <r>
      <rPr>
        <sz val="9"/>
        <color theme="1"/>
        <rFont val="맑은 고딕"/>
        <family val="3"/>
        <charset val="129"/>
      </rPr>
      <t>기간의</t>
    </r>
    <r>
      <rPr>
        <sz val="9"/>
        <color theme="1"/>
        <rFont val="Calibri"/>
        <family val="2"/>
      </rPr>
      <t xml:space="preserve"> </t>
    </r>
    <r>
      <rPr>
        <sz val="9"/>
        <color theme="1"/>
        <rFont val="맑은 고딕"/>
        <family val="3"/>
        <charset val="129"/>
      </rPr>
      <t>종류가</t>
    </r>
    <r>
      <rPr>
        <sz val="9"/>
        <color theme="1"/>
        <rFont val="Calibri"/>
        <family val="2"/>
      </rPr>
      <t xml:space="preserve"> </t>
    </r>
    <r>
      <rPr>
        <sz val="9"/>
        <color theme="1"/>
        <rFont val="맑은 고딕"/>
        <family val="3"/>
        <charset val="129"/>
      </rPr>
      <t>잘못되었습니다</t>
    </r>
    <r>
      <rPr>
        <sz val="9"/>
        <color theme="1"/>
        <rFont val="Calibri"/>
        <family val="2"/>
      </rPr>
      <t>. W(</t>
    </r>
    <r>
      <rPr>
        <sz val="9"/>
        <color theme="1"/>
        <rFont val="맑은 고딕"/>
        <family val="3"/>
        <charset val="129"/>
      </rPr>
      <t>주</t>
    </r>
    <r>
      <rPr>
        <sz val="9"/>
        <color theme="1"/>
        <rFont val="Calibri"/>
        <family val="2"/>
      </rPr>
      <t>), M(</t>
    </r>
    <r>
      <rPr>
        <sz val="9"/>
        <color theme="1"/>
        <rFont val="맑은 고딕"/>
        <family val="3"/>
        <charset val="129"/>
      </rPr>
      <t>월</t>
    </r>
    <r>
      <rPr>
        <sz val="9"/>
        <color theme="1"/>
        <rFont val="Calibri"/>
        <family val="2"/>
      </rPr>
      <t xml:space="preserve">) </t>
    </r>
    <r>
      <rPr>
        <sz val="9"/>
        <color theme="1"/>
        <rFont val="맑은 고딕"/>
        <family val="3"/>
        <charset val="129"/>
      </rPr>
      <t>중에</t>
    </r>
    <r>
      <rPr>
        <sz val="9"/>
        <color theme="1"/>
        <rFont val="Calibri"/>
        <family val="2"/>
      </rPr>
      <t xml:space="preserve"> </t>
    </r>
    <r>
      <rPr>
        <sz val="9"/>
        <color theme="1"/>
        <rFont val="맑은 고딕"/>
        <family val="3"/>
        <charset val="129"/>
      </rPr>
      <t>하나를</t>
    </r>
    <r>
      <rPr>
        <sz val="9"/>
        <color theme="1"/>
        <rFont val="Calibri"/>
        <family val="2"/>
      </rPr>
      <t xml:space="preserve"> </t>
    </r>
    <r>
      <rPr>
        <sz val="9"/>
        <color theme="1"/>
        <rFont val="맑은 고딕"/>
        <family val="3"/>
        <charset val="129"/>
      </rPr>
      <t>입력해야</t>
    </r>
    <r>
      <rPr>
        <sz val="9"/>
        <color theme="1"/>
        <rFont val="Calibri"/>
        <family val="2"/>
      </rPr>
      <t xml:space="preserve"> </t>
    </r>
    <r>
      <rPr>
        <sz val="9"/>
        <color theme="1"/>
        <rFont val="맑은 고딕"/>
        <family val="3"/>
        <charset val="129"/>
      </rPr>
      <t>합니다</t>
    </r>
  </si>
  <si>
    <t>The language setting has been changed.\nPress the OK button to start translation. \nIt may take a long time to translate.\nHowever, translation of Ribbon menu and Popup menu takes effect after reopening this XLGantt file.</t>
    <phoneticPr fontId="13" type="noConversion"/>
  </si>
  <si>
    <r>
      <rPr>
        <sz val="9"/>
        <color theme="1"/>
        <rFont val="맑은 고딕"/>
        <family val="3"/>
        <charset val="129"/>
      </rPr>
      <t>언어설정이</t>
    </r>
    <r>
      <rPr>
        <sz val="9"/>
        <color theme="1"/>
        <rFont val="Calibri"/>
        <family val="2"/>
      </rPr>
      <t xml:space="preserve"> </t>
    </r>
    <r>
      <rPr>
        <sz val="9"/>
        <color theme="1"/>
        <rFont val="맑은 고딕"/>
        <family val="3"/>
        <charset val="129"/>
      </rPr>
      <t>변경되었습니다</t>
    </r>
    <r>
      <rPr>
        <sz val="9"/>
        <color theme="1"/>
        <rFont val="Calibri"/>
        <family val="2"/>
      </rPr>
      <t>.\n</t>
    </r>
    <r>
      <rPr>
        <sz val="9"/>
        <color theme="1"/>
        <rFont val="맑은 고딕"/>
        <family val="3"/>
        <charset val="129"/>
      </rPr>
      <t>확인버튼을</t>
    </r>
    <r>
      <rPr>
        <sz val="9"/>
        <color theme="1"/>
        <rFont val="Calibri"/>
        <family val="2"/>
      </rPr>
      <t xml:space="preserve"> </t>
    </r>
    <r>
      <rPr>
        <sz val="9"/>
        <color theme="1"/>
        <rFont val="맑은 고딕"/>
        <family val="3"/>
        <charset val="129"/>
      </rPr>
      <t>누르면</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시작합니다</t>
    </r>
    <r>
      <rPr>
        <sz val="9"/>
        <color theme="1"/>
        <rFont val="Calibri"/>
        <family val="2"/>
      </rPr>
      <t xml:space="preserve">. </t>
    </r>
    <r>
      <rPr>
        <sz val="9"/>
        <color theme="1"/>
        <rFont val="맑은 고딕"/>
        <family val="3"/>
        <charset val="129"/>
      </rPr>
      <t>번역은</t>
    </r>
    <r>
      <rPr>
        <sz val="9"/>
        <color theme="1"/>
        <rFont val="Calibri"/>
        <family val="2"/>
      </rPr>
      <t xml:space="preserve"> </t>
    </r>
    <r>
      <rPr>
        <sz val="9"/>
        <color theme="1"/>
        <rFont val="맑은 고딕"/>
        <family val="3"/>
        <charset val="129"/>
      </rPr>
      <t>시간이</t>
    </r>
    <r>
      <rPr>
        <sz val="9"/>
        <color theme="1"/>
        <rFont val="Calibri"/>
        <family val="2"/>
      </rPr>
      <t xml:space="preserve"> </t>
    </r>
    <r>
      <rPr>
        <sz val="9"/>
        <color theme="1"/>
        <rFont val="맑은 고딕"/>
        <family val="3"/>
        <charset val="129"/>
      </rPr>
      <t>걸릴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\n</t>
    </r>
    <r>
      <rPr>
        <sz val="9"/>
        <color theme="1"/>
        <rFont val="맑은 고딕"/>
        <family val="3"/>
        <charset val="129"/>
      </rPr>
      <t>리본메뉴</t>
    </r>
    <r>
      <rPr>
        <sz val="9"/>
        <color theme="1"/>
        <rFont val="Calibri"/>
        <family val="2"/>
      </rPr>
      <t xml:space="preserve">, </t>
    </r>
    <r>
      <rPr>
        <sz val="9"/>
        <color theme="1"/>
        <rFont val="맑은 고딕"/>
        <family val="3"/>
        <charset val="129"/>
      </rPr>
      <t>팝업메뉴의</t>
    </r>
    <r>
      <rPr>
        <sz val="9"/>
        <color theme="1"/>
        <rFont val="Calibri"/>
        <family val="2"/>
      </rPr>
      <t xml:space="preserve"> </t>
    </r>
    <r>
      <rPr>
        <sz val="9"/>
        <color theme="1"/>
        <rFont val="맑은 고딕"/>
        <family val="3"/>
        <charset val="129"/>
      </rPr>
      <t>언어는</t>
    </r>
    <r>
      <rPr>
        <sz val="9"/>
        <color theme="1"/>
        <rFont val="Calibri"/>
        <family val="2"/>
      </rPr>
      <t xml:space="preserve"> </t>
    </r>
    <r>
      <rPr>
        <sz val="9"/>
        <color theme="1"/>
        <rFont val="맑은 고딕"/>
        <family val="3"/>
        <charset val="129"/>
      </rPr>
      <t>이</t>
    </r>
    <r>
      <rPr>
        <sz val="9"/>
        <color theme="1"/>
        <rFont val="Calibri"/>
        <family val="2"/>
      </rPr>
      <t xml:space="preserve"> XLGantt</t>
    </r>
    <r>
      <rPr>
        <sz val="9"/>
        <color theme="1"/>
        <rFont val="맑은 고딕"/>
        <family val="3"/>
        <charset val="129"/>
      </rPr>
      <t>파일을</t>
    </r>
    <r>
      <rPr>
        <sz val="9"/>
        <color theme="1"/>
        <rFont val="Calibri"/>
        <family val="2"/>
      </rPr>
      <t xml:space="preserve"> </t>
    </r>
    <r>
      <rPr>
        <sz val="9"/>
        <color theme="1"/>
        <rFont val="맑은 고딕"/>
        <family val="3"/>
        <charset val="129"/>
      </rPr>
      <t>닫은</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새로</t>
    </r>
    <r>
      <rPr>
        <sz val="9"/>
        <color theme="1"/>
        <rFont val="Calibri"/>
        <family val="2"/>
      </rPr>
      <t xml:space="preserve"> </t>
    </r>
    <r>
      <rPr>
        <sz val="9"/>
        <color theme="1"/>
        <rFont val="맑은 고딕"/>
        <family val="3"/>
        <charset val="129"/>
      </rPr>
      <t>열어야</t>
    </r>
    <r>
      <rPr>
        <sz val="9"/>
        <color theme="1"/>
        <rFont val="Calibri"/>
        <family val="2"/>
      </rPr>
      <t xml:space="preserve"> </t>
    </r>
    <r>
      <rPr>
        <sz val="9"/>
        <color theme="1"/>
        <rFont val="맑은 고딕"/>
        <family val="3"/>
        <charset val="129"/>
      </rPr>
      <t>번역이</t>
    </r>
    <r>
      <rPr>
        <sz val="9"/>
        <color theme="1"/>
        <rFont val="Calibri"/>
        <family val="2"/>
      </rPr>
      <t xml:space="preserve"> </t>
    </r>
    <r>
      <rPr>
        <sz val="9"/>
        <color theme="1"/>
        <rFont val="맑은 고딕"/>
        <family val="3"/>
        <charset val="129"/>
      </rPr>
      <t>적용됩니다</t>
    </r>
    <r>
      <rPr>
        <sz val="9"/>
        <color theme="1"/>
        <rFont val="Calibri"/>
        <family val="2"/>
      </rPr>
      <t>.</t>
    </r>
    <phoneticPr fontId="13" type="noConversion"/>
  </si>
  <si>
    <t>The latest finish date({1}) of the tasks is later than the finish date({2}) of the project.\n\nIn this case, there may be problems with resource calculations. Please change the finish date to valid date.</t>
  </si>
  <si>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완료일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늦습니다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</si>
  <si>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t>The level of row {} is invalid.</t>
  </si>
  <si>
    <r>
      <t xml:space="preserve">{} </t>
    </r>
    <r>
      <rPr>
        <sz val="9"/>
        <color theme="1"/>
        <rFont val="맑은 고딕"/>
        <family val="3"/>
        <charset val="129"/>
      </rPr>
      <t>행의</t>
    </r>
    <r>
      <rPr>
        <sz val="9"/>
        <color theme="1"/>
        <rFont val="Calibri"/>
        <family val="2"/>
      </rPr>
      <t xml:space="preserve"> Level</t>
    </r>
    <r>
      <rPr>
        <sz val="9"/>
        <color theme="1"/>
        <rFont val="맑은 고딕"/>
        <family val="3"/>
        <charset val="129"/>
      </rPr>
      <t>이</t>
    </r>
    <r>
      <rPr>
        <sz val="9"/>
        <color theme="1"/>
        <rFont val="Calibri"/>
        <family val="2"/>
      </rPr>
      <t xml:space="preserve"> </t>
    </r>
    <r>
      <rPr>
        <sz val="9"/>
        <color theme="1"/>
        <rFont val="맑은 고딕"/>
        <family val="3"/>
        <charset val="129"/>
      </rPr>
      <t>맞지</t>
    </r>
    <r>
      <rPr>
        <sz val="9"/>
        <color theme="1"/>
        <rFont val="Calibri"/>
        <family val="2"/>
      </rPr>
      <t xml:space="preserve"> </t>
    </r>
    <r>
      <rPr>
        <sz val="9"/>
        <color theme="1"/>
        <rFont val="맑은 고딕"/>
        <family val="3"/>
        <charset val="129"/>
      </rPr>
      <t>않습니다</t>
    </r>
    <r>
      <rPr>
        <sz val="9"/>
        <color theme="1"/>
        <rFont val="Calibri"/>
        <family val="2"/>
      </rPr>
      <t>. Level</t>
    </r>
    <r>
      <rPr>
        <sz val="9"/>
        <color theme="1"/>
        <rFont val="맑은 고딕"/>
        <family val="3"/>
        <charset val="129"/>
      </rPr>
      <t>을</t>
    </r>
    <r>
      <rPr>
        <sz val="9"/>
        <color theme="1"/>
        <rFont val="Calibri"/>
        <family val="2"/>
      </rPr>
      <t xml:space="preserve"> 1</t>
    </r>
    <r>
      <rPr>
        <sz val="9"/>
        <color theme="1"/>
        <rFont val="맑은 고딕"/>
        <family val="3"/>
        <charset val="129"/>
      </rPr>
      <t>보다</t>
    </r>
    <r>
      <rPr>
        <sz val="9"/>
        <color theme="1"/>
        <rFont val="Calibri"/>
        <family val="2"/>
      </rPr>
      <t xml:space="preserve"> </t>
    </r>
    <r>
      <rPr>
        <sz val="9"/>
        <color theme="1"/>
        <rFont val="맑은 고딕"/>
        <family val="3"/>
        <charset val="129"/>
      </rPr>
      <t>크게</t>
    </r>
    <r>
      <rPr>
        <sz val="9"/>
        <color theme="1"/>
        <rFont val="Calibri"/>
        <family val="2"/>
      </rPr>
      <t xml:space="preserve"> </t>
    </r>
    <r>
      <rPr>
        <sz val="9"/>
        <color theme="1"/>
        <rFont val="맑은 고딕"/>
        <family val="3"/>
        <charset val="129"/>
      </rPr>
      <t>증가했는지</t>
    </r>
    <r>
      <rPr>
        <sz val="9"/>
        <color theme="1"/>
        <rFont val="Calibri"/>
        <family val="2"/>
      </rPr>
      <t xml:space="preserve"> </t>
    </r>
    <r>
      <rPr>
        <sz val="9"/>
        <color theme="1"/>
        <rFont val="맑은 고딕"/>
        <family val="3"/>
        <charset val="129"/>
      </rPr>
      <t>확인하세요</t>
    </r>
    <r>
      <rPr>
        <sz val="9"/>
        <color theme="1"/>
        <rFont val="Calibri"/>
        <family val="2"/>
      </rPr>
      <t>.</t>
    </r>
  </si>
  <si>
    <t>The number of Level must be less than or equal to {}</t>
  </si>
  <si>
    <r>
      <t>Level</t>
    </r>
    <r>
      <rPr>
        <sz val="9"/>
        <color theme="1"/>
        <rFont val="맑은 고딕"/>
        <family val="3"/>
        <charset val="129"/>
      </rPr>
      <t>의</t>
    </r>
    <r>
      <rPr>
        <sz val="9"/>
        <color theme="1"/>
        <rFont val="Calibri"/>
        <family val="2"/>
      </rPr>
      <t xml:space="preserve"> </t>
    </r>
    <r>
      <rPr>
        <sz val="9"/>
        <color theme="1"/>
        <rFont val="맑은 고딕"/>
        <family val="3"/>
        <charset val="129"/>
      </rPr>
      <t>갯수는</t>
    </r>
    <r>
      <rPr>
        <sz val="9"/>
        <color theme="1"/>
        <rFont val="Calibri"/>
        <family val="2"/>
      </rPr>
      <t xml:space="preserve"> {}</t>
    </r>
    <r>
      <rPr>
        <sz val="9"/>
        <color theme="1"/>
        <rFont val="맑은 고딕"/>
        <family val="3"/>
        <charset val="129"/>
      </rPr>
      <t>개까지만</t>
    </r>
    <r>
      <rPr>
        <sz val="9"/>
        <color theme="1"/>
        <rFont val="Calibri"/>
        <family val="2"/>
      </rPr>
      <t xml:space="preserve"> </t>
    </r>
    <r>
      <rPr>
        <sz val="9"/>
        <color theme="1"/>
        <rFont val="맑은 고딕"/>
        <family val="3"/>
        <charset val="129"/>
      </rPr>
      <t>가능합니다</t>
    </r>
    <r>
      <rPr>
        <sz val="9"/>
        <color theme="1"/>
        <rFont val="Calibri"/>
        <family val="2"/>
      </rPr>
      <t>.</t>
    </r>
  </si>
  <si>
    <t>The number of Level must be positive integer.</t>
  </si>
  <si>
    <r>
      <t>Level</t>
    </r>
    <r>
      <rPr>
        <sz val="9"/>
        <color theme="1"/>
        <rFont val="맑은 고딕"/>
        <family val="3"/>
        <charset val="129"/>
      </rPr>
      <t>의</t>
    </r>
    <r>
      <rPr>
        <sz val="9"/>
        <color theme="1"/>
        <rFont val="Calibri"/>
        <family val="2"/>
      </rPr>
      <t xml:space="preserve"> </t>
    </r>
    <r>
      <rPr>
        <sz val="9"/>
        <color theme="1"/>
        <rFont val="맑은 고딕"/>
        <family val="3"/>
        <charset val="129"/>
      </rPr>
      <t>갯수는</t>
    </r>
    <r>
      <rPr>
        <sz val="9"/>
        <color theme="1"/>
        <rFont val="Calibri"/>
        <family val="2"/>
      </rPr>
      <t xml:space="preserve"> </t>
    </r>
    <r>
      <rPr>
        <sz val="9"/>
        <color theme="1"/>
        <rFont val="맑은 고딕"/>
        <family val="3"/>
        <charset val="129"/>
      </rPr>
      <t>양의</t>
    </r>
    <r>
      <rPr>
        <sz val="9"/>
        <color theme="1"/>
        <rFont val="Calibri"/>
        <family val="2"/>
      </rPr>
      <t xml:space="preserve"> </t>
    </r>
    <r>
      <rPr>
        <sz val="9"/>
        <color theme="1"/>
        <rFont val="맑은 고딕"/>
        <family val="3"/>
        <charset val="129"/>
      </rPr>
      <t>정수만</t>
    </r>
    <r>
      <rPr>
        <sz val="9"/>
        <color theme="1"/>
        <rFont val="Calibri"/>
        <family val="2"/>
      </rPr>
      <t xml:space="preserve"> </t>
    </r>
    <r>
      <rPr>
        <sz val="9"/>
        <color theme="1"/>
        <rFont val="맑은 고딕"/>
        <family val="3"/>
        <charset val="129"/>
      </rPr>
      <t>가능합니다</t>
    </r>
    <r>
      <rPr>
        <sz val="9"/>
        <color theme="1"/>
        <rFont val="Calibri"/>
        <family val="2"/>
      </rPr>
      <t>.</t>
    </r>
  </si>
  <si>
    <t>The number of task columns is not 10. Please retry after changing the sheet to its previous state.</t>
    <phoneticPr fontId="11" type="noConversion"/>
  </si>
  <si>
    <r>
      <t>Task</t>
    </r>
    <r>
      <rPr>
        <sz val="9"/>
        <color theme="1"/>
        <rFont val="맑은 고딕"/>
        <family val="3"/>
        <charset val="129"/>
      </rPr>
      <t>열의</t>
    </r>
    <r>
      <rPr>
        <sz val="9"/>
        <color theme="1"/>
        <rFont val="Calibri"/>
        <family val="2"/>
      </rPr>
      <t xml:space="preserve"> </t>
    </r>
    <r>
      <rPr>
        <sz val="9"/>
        <color theme="1"/>
        <rFont val="맑은 고딕"/>
        <family val="3"/>
        <charset val="129"/>
      </rPr>
      <t>갯수가</t>
    </r>
    <r>
      <rPr>
        <sz val="9"/>
        <color theme="1"/>
        <rFont val="Calibri"/>
        <family val="2"/>
      </rPr>
      <t xml:space="preserve"> 10</t>
    </r>
    <r>
      <rPr>
        <sz val="9"/>
        <color theme="1"/>
        <rFont val="맑은 고딕"/>
        <family val="3"/>
        <charset val="129"/>
      </rPr>
      <t>개가</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phoneticPr fontId="11" type="noConversion"/>
  </si>
  <si>
    <t>The process was terminated due to the {} sheet error.</t>
  </si>
  <si>
    <r>
      <t>{} sheet</t>
    </r>
    <r>
      <rPr>
        <sz val="9"/>
        <color theme="1"/>
        <rFont val="맑은 고딕"/>
        <family val="3"/>
        <charset val="129"/>
      </rPr>
      <t>의</t>
    </r>
    <r>
      <rPr>
        <sz val="9"/>
        <color theme="1"/>
        <rFont val="Calibri"/>
        <family val="2"/>
      </rPr>
      <t xml:space="preserve"> </t>
    </r>
    <r>
      <rPr>
        <sz val="9"/>
        <color theme="1"/>
        <rFont val="맑은 고딕"/>
        <family val="3"/>
        <charset val="129"/>
      </rPr>
      <t>에러로</t>
    </r>
    <r>
      <rPr>
        <sz val="9"/>
        <color theme="1"/>
        <rFont val="Calibri"/>
        <family val="2"/>
      </rPr>
      <t xml:space="preserve"> </t>
    </r>
    <r>
      <rPr>
        <sz val="9"/>
        <color theme="1"/>
        <rFont val="맑은 고딕"/>
        <family val="3"/>
        <charset val="129"/>
      </rPr>
      <t>인해</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중단되었습니다</t>
    </r>
    <r>
      <rPr>
        <sz val="9"/>
        <color theme="1"/>
        <rFont val="Calibri"/>
        <family val="2"/>
      </rPr>
      <t>.</t>
    </r>
  </si>
  <si>
    <t>The project finish date({}) you entered is not valid date format.</t>
  </si>
  <si>
    <r>
      <rPr>
        <sz val="9"/>
        <color theme="1"/>
        <rFont val="맑은 고딕"/>
        <family val="3"/>
        <charset val="129"/>
      </rPr>
      <t>입력한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기간의</t>
    </r>
    <r>
      <rPr>
        <sz val="9"/>
        <color theme="1"/>
        <rFont val="Calibri"/>
        <family val="2"/>
      </rPr>
      <t xml:space="preserve"> </t>
    </r>
    <r>
      <rPr>
        <sz val="9"/>
        <color theme="1"/>
        <rFont val="맑은 고딕"/>
        <family val="3"/>
        <charset val="129"/>
      </rPr>
      <t>완료일</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t>
    </r>
  </si>
  <si>
    <t>The project start date({}) you entered is not valid date format.</t>
  </si>
  <si>
    <r>
      <rPr>
        <sz val="9"/>
        <color theme="1"/>
        <rFont val="맑은 고딕"/>
        <family val="3"/>
        <charset val="129"/>
      </rPr>
      <t>입력한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기간의</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</si>
  <si>
    <t>The resource allocation ratio in the resource field of row number {1} in the {2} sheet is invalid.</t>
    <phoneticPr fontId="11" type="noConversion"/>
  </si>
  <si>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자원배정비율이</t>
    </r>
    <r>
      <rPr>
        <sz val="9"/>
        <color theme="1"/>
        <rFont val="Calibri"/>
        <family val="2"/>
      </rPr>
      <t xml:space="preserve"> </t>
    </r>
    <r>
      <rPr>
        <sz val="9"/>
        <color theme="1"/>
        <rFont val="맑은 고딕"/>
        <family val="3"/>
        <charset val="129"/>
      </rPr>
      <t>잘못입력되었습니다</t>
    </r>
    <r>
      <rPr>
        <sz val="9"/>
        <color theme="1"/>
        <rFont val="Calibri"/>
        <family val="2"/>
      </rPr>
      <t>.</t>
    </r>
  </si>
  <si>
    <t>The resource field should be entered in the following format.</t>
    <phoneticPr fontId="11" type="noConversion"/>
  </si>
  <si>
    <r>
      <rPr>
        <sz val="9"/>
        <color theme="1"/>
        <rFont val="맑은 고딕"/>
        <family val="3"/>
        <charset val="129"/>
      </rPr>
      <t>자원배정비율은</t>
    </r>
    <r>
      <rPr>
        <sz val="9"/>
        <color theme="1"/>
        <rFont val="Calibri"/>
        <family val="2"/>
      </rPr>
      <t xml:space="preserve"> </t>
    </r>
    <r>
      <rPr>
        <sz val="9"/>
        <color theme="1"/>
        <rFont val="맑은 고딕"/>
        <family val="3"/>
        <charset val="129"/>
      </rPr>
      <t>다음과</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입력되어야</t>
    </r>
    <r>
      <rPr>
        <sz val="9"/>
        <color theme="1"/>
        <rFont val="Calibri"/>
        <family val="2"/>
      </rPr>
      <t xml:space="preserve"> </t>
    </r>
    <r>
      <rPr>
        <sz val="9"/>
        <color theme="1"/>
        <rFont val="맑은 고딕"/>
        <family val="3"/>
        <charset val="129"/>
      </rPr>
      <t>합니다</t>
    </r>
    <r>
      <rPr>
        <sz val="9"/>
        <color theme="1"/>
        <rFont val="Calibri"/>
        <family val="2"/>
      </rPr>
      <t>.</t>
    </r>
    <phoneticPr fontId="11" type="noConversion"/>
  </si>
  <si>
    <t>The start date format of row number {1} in the {2} sheet is invalid.</t>
  </si>
  <si>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</si>
  <si>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t>The start date is later than the finish date.</t>
  </si>
  <si>
    <r>
      <rPr>
        <sz val="9"/>
        <color theme="1"/>
        <rFont val="맑은 고딕"/>
        <family val="3"/>
        <charset val="129"/>
      </rPr>
      <t>시작일이</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큽니다</t>
    </r>
    <r>
      <rPr>
        <sz val="9"/>
        <color theme="1"/>
        <rFont val="Calibri"/>
        <family val="2"/>
      </rPr>
      <t>.</t>
    </r>
  </si>
  <si>
    <t>The start date of row number {1} in the {2} sheet is later than the finish date.</t>
  </si>
  <si>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큽니다</t>
    </r>
    <r>
      <rPr>
        <sz val="9"/>
        <color theme="1"/>
        <rFont val="Calibri"/>
        <family val="2"/>
      </rPr>
      <t>.</t>
    </r>
  </si>
  <si>
    <t>The start or finish date of row number {1} in the {2} sheet is out of the project duration.</t>
  </si>
  <si>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</si>
  <si>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t>The task of the first row of the {} sheet is not level 1.</t>
  </si>
  <si>
    <r>
      <t xml:space="preserve">{} sheet </t>
    </r>
    <r>
      <rPr>
        <sz val="9"/>
        <color theme="1"/>
        <rFont val="맑은 고딕"/>
        <family val="3"/>
        <charset val="129"/>
      </rPr>
      <t>첫행의</t>
    </r>
    <r>
      <rPr>
        <sz val="9"/>
        <color theme="1"/>
        <rFont val="Calibri"/>
        <family val="2"/>
      </rPr>
      <t xml:space="preserve"> </t>
    </r>
    <r>
      <rPr>
        <sz val="9"/>
        <color theme="1"/>
        <rFont val="맑은 고딕"/>
        <family val="3"/>
        <charset val="129"/>
      </rPr>
      <t>작업이</t>
    </r>
    <r>
      <rPr>
        <sz val="9"/>
        <color theme="1"/>
        <rFont val="Calibri"/>
        <family val="2"/>
      </rPr>
      <t xml:space="preserve"> 1 Level</t>
    </r>
    <r>
      <rPr>
        <sz val="9"/>
        <color theme="1"/>
        <rFont val="맑은 고딕"/>
        <family val="3"/>
        <charset val="129"/>
      </rPr>
      <t>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첫행의</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첫째칸이</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칸에</t>
    </r>
    <r>
      <rPr>
        <sz val="9"/>
        <color theme="1"/>
        <rFont val="Calibri"/>
        <family val="2"/>
      </rPr>
      <t xml:space="preserve"> </t>
    </r>
    <r>
      <rPr>
        <sz val="9"/>
        <color theme="1"/>
        <rFont val="맑은 고딕"/>
        <family val="3"/>
        <charset val="129"/>
      </rPr>
      <t>입력되었는지</t>
    </r>
    <r>
      <rPr>
        <sz val="9"/>
        <color theme="1"/>
        <rFont val="Calibri"/>
        <family val="2"/>
      </rPr>
      <t xml:space="preserve"> </t>
    </r>
    <r>
      <rPr>
        <sz val="9"/>
        <color theme="1"/>
        <rFont val="맑은 고딕"/>
        <family val="3"/>
        <charset val="129"/>
      </rPr>
      <t>확인하세요</t>
    </r>
    <r>
      <rPr>
        <sz val="9"/>
        <color theme="1"/>
        <rFont val="Calibri"/>
        <family val="2"/>
      </rPr>
      <t>.</t>
    </r>
  </si>
  <si>
    <t>The type of task fields</t>
  </si>
  <si>
    <r>
      <t>Task</t>
    </r>
    <r>
      <rPr>
        <sz val="9"/>
        <color theme="1"/>
        <rFont val="맑은 고딕"/>
        <family val="3"/>
        <charset val="129"/>
      </rPr>
      <t>필드</t>
    </r>
    <r>
      <rPr>
        <sz val="9"/>
        <color theme="1"/>
        <rFont val="Calibri"/>
        <family val="2"/>
      </rPr>
      <t xml:space="preserve"> </t>
    </r>
    <r>
      <rPr>
        <sz val="9"/>
        <color theme="1"/>
        <rFont val="맑은 고딕"/>
        <family val="3"/>
        <charset val="129"/>
      </rPr>
      <t>유형</t>
    </r>
  </si>
  <si>
    <t>The week containing January 1 is the first week of the year.</t>
    <phoneticPr fontId="11" type="noConversion"/>
  </si>
  <si>
    <r>
      <t>1</t>
    </r>
    <r>
      <rPr>
        <sz val="9"/>
        <color theme="1"/>
        <rFont val="맑은 고딕"/>
        <family val="3"/>
        <charset val="129"/>
      </rPr>
      <t>월</t>
    </r>
    <r>
      <rPr>
        <sz val="9"/>
        <color theme="1"/>
        <rFont val="Calibri"/>
        <family val="2"/>
      </rPr>
      <t xml:space="preserve"> 1</t>
    </r>
    <r>
      <rPr>
        <sz val="9"/>
        <color theme="1"/>
        <rFont val="맑은 고딕"/>
        <family val="3"/>
        <charset val="129"/>
      </rPr>
      <t>일을</t>
    </r>
    <r>
      <rPr>
        <sz val="9"/>
        <color theme="1"/>
        <rFont val="Calibri"/>
        <family val="2"/>
      </rPr>
      <t xml:space="preserve"> </t>
    </r>
    <r>
      <rPr>
        <sz val="9"/>
        <color theme="1"/>
        <rFont val="맑은 고딕"/>
        <family val="3"/>
        <charset val="129"/>
      </rPr>
      <t>포함하는</t>
    </r>
    <r>
      <rPr>
        <sz val="9"/>
        <color theme="1"/>
        <rFont val="Calibri"/>
        <family val="2"/>
      </rPr>
      <t xml:space="preserve"> </t>
    </r>
    <r>
      <rPr>
        <sz val="9"/>
        <color theme="1"/>
        <rFont val="맑은 고딕"/>
        <family val="3"/>
        <charset val="129"/>
      </rPr>
      <t>주가</t>
    </r>
    <r>
      <rPr>
        <sz val="9"/>
        <color theme="1"/>
        <rFont val="Calibri"/>
        <family val="2"/>
      </rPr>
      <t xml:space="preserve"> </t>
    </r>
    <r>
      <rPr>
        <sz val="9"/>
        <color theme="1"/>
        <rFont val="맑은 고딕"/>
        <family val="3"/>
        <charset val="129"/>
      </rPr>
      <t>년도의</t>
    </r>
    <r>
      <rPr>
        <sz val="9"/>
        <color theme="1"/>
        <rFont val="Calibri"/>
        <family val="2"/>
      </rPr>
      <t xml:space="preserve"> </t>
    </r>
    <r>
      <rPr>
        <sz val="9"/>
        <color theme="1"/>
        <rFont val="맑은 고딕"/>
        <family val="3"/>
        <charset val="129"/>
      </rPr>
      <t>첫주가</t>
    </r>
    <r>
      <rPr>
        <sz val="9"/>
        <color theme="1"/>
        <rFont val="Calibri"/>
        <family val="2"/>
      </rPr>
      <t xml:space="preserve"> </t>
    </r>
    <r>
      <rPr>
        <sz val="9"/>
        <color theme="1"/>
        <rFont val="맑은 고딕"/>
        <family val="3"/>
        <charset val="129"/>
      </rPr>
      <t>되는</t>
    </r>
    <r>
      <rPr>
        <sz val="9"/>
        <color theme="1"/>
        <rFont val="Calibri"/>
        <family val="2"/>
      </rPr>
      <t xml:space="preserve"> </t>
    </r>
    <r>
      <rPr>
        <sz val="9"/>
        <color theme="1"/>
        <rFont val="맑은 고딕"/>
        <family val="3"/>
        <charset val="129"/>
      </rPr>
      <t>방식</t>
    </r>
    <phoneticPr fontId="11" type="noConversion"/>
  </si>
  <si>
    <t>The week containing the first Thursday of the year is the first week of the year(ISO 8601 Standard).</t>
    <phoneticPr fontId="11" type="noConversion"/>
  </si>
  <si>
    <r>
      <rPr>
        <sz val="9"/>
        <color theme="1"/>
        <rFont val="맑은 고딕"/>
        <family val="3"/>
        <charset val="129"/>
      </rPr>
      <t>한주의</t>
    </r>
    <r>
      <rPr>
        <sz val="9"/>
        <color theme="1"/>
        <rFont val="Calibri"/>
        <family val="2"/>
      </rPr>
      <t xml:space="preserve"> </t>
    </r>
    <r>
      <rPr>
        <sz val="9"/>
        <color theme="1"/>
        <rFont val="맑은 고딕"/>
        <family val="3"/>
        <charset val="129"/>
      </rPr>
      <t>시작은</t>
    </r>
    <r>
      <rPr>
        <sz val="9"/>
        <color theme="1"/>
        <rFont val="Calibri"/>
        <family val="2"/>
      </rPr>
      <t xml:space="preserve"> </t>
    </r>
    <r>
      <rPr>
        <sz val="9"/>
        <color theme="1"/>
        <rFont val="맑은 고딕"/>
        <family val="3"/>
        <charset val="129"/>
      </rPr>
      <t>월요일이며</t>
    </r>
    <r>
      <rPr>
        <sz val="9"/>
        <color theme="1"/>
        <rFont val="Calibri"/>
        <family val="2"/>
      </rPr>
      <t xml:space="preserve"> </t>
    </r>
    <r>
      <rPr>
        <sz val="9"/>
        <color theme="1"/>
        <rFont val="맑은 고딕"/>
        <family val="3"/>
        <charset val="129"/>
      </rPr>
      <t>년도의</t>
    </r>
    <r>
      <rPr>
        <sz val="9"/>
        <color theme="1"/>
        <rFont val="Calibri"/>
        <family val="2"/>
      </rPr>
      <t xml:space="preserve"> </t>
    </r>
    <r>
      <rPr>
        <sz val="9"/>
        <color theme="1"/>
        <rFont val="맑은 고딕"/>
        <family val="3"/>
        <charset val="129"/>
      </rPr>
      <t>첫번째</t>
    </r>
    <r>
      <rPr>
        <sz val="9"/>
        <color theme="1"/>
        <rFont val="Calibri"/>
        <family val="2"/>
      </rPr>
      <t xml:space="preserve"> </t>
    </r>
    <r>
      <rPr>
        <sz val="9"/>
        <color theme="1"/>
        <rFont val="맑은 고딕"/>
        <family val="3"/>
        <charset val="129"/>
      </rPr>
      <t>목요일을</t>
    </r>
    <r>
      <rPr>
        <sz val="9"/>
        <color theme="1"/>
        <rFont val="Calibri"/>
        <family val="2"/>
      </rPr>
      <t xml:space="preserve"> </t>
    </r>
    <r>
      <rPr>
        <sz val="9"/>
        <color theme="1"/>
        <rFont val="맑은 고딕"/>
        <family val="3"/>
        <charset val="129"/>
      </rPr>
      <t>포함하는</t>
    </r>
    <r>
      <rPr>
        <sz val="9"/>
        <color theme="1"/>
        <rFont val="Calibri"/>
        <family val="2"/>
      </rPr>
      <t xml:space="preserve"> </t>
    </r>
    <r>
      <rPr>
        <sz val="9"/>
        <color theme="1"/>
        <rFont val="맑은 고딕"/>
        <family val="3"/>
        <charset val="129"/>
      </rPr>
      <t>주가</t>
    </r>
    <r>
      <rPr>
        <sz val="9"/>
        <color theme="1"/>
        <rFont val="Calibri"/>
        <family val="2"/>
      </rPr>
      <t xml:space="preserve"> </t>
    </r>
    <r>
      <rPr>
        <sz val="9"/>
        <color theme="1"/>
        <rFont val="맑은 고딕"/>
        <family val="3"/>
        <charset val="129"/>
      </rPr>
      <t>첫주가</t>
    </r>
    <r>
      <rPr>
        <sz val="9"/>
        <color theme="1"/>
        <rFont val="Calibri"/>
        <family val="2"/>
      </rPr>
      <t xml:space="preserve"> </t>
    </r>
    <r>
      <rPr>
        <sz val="9"/>
        <color theme="1"/>
        <rFont val="맑은 고딕"/>
        <family val="3"/>
        <charset val="129"/>
      </rPr>
      <t>되는</t>
    </r>
    <r>
      <rPr>
        <sz val="9"/>
        <color theme="1"/>
        <rFont val="Calibri"/>
        <family val="2"/>
      </rPr>
      <t xml:space="preserve"> </t>
    </r>
    <r>
      <rPr>
        <sz val="9"/>
        <color theme="1"/>
        <rFont val="맑은 고딕"/>
        <family val="3"/>
        <charset val="129"/>
      </rPr>
      <t>방식</t>
    </r>
    <r>
      <rPr>
        <sz val="9"/>
        <color theme="1"/>
        <rFont val="Calibri"/>
        <family val="2"/>
      </rPr>
      <t xml:space="preserve">(ISO 8601 </t>
    </r>
    <r>
      <rPr>
        <sz val="9"/>
        <color theme="1"/>
        <rFont val="맑은 고딕"/>
        <family val="3"/>
        <charset val="129"/>
      </rPr>
      <t>표준</t>
    </r>
    <r>
      <rPr>
        <sz val="9"/>
        <color theme="1"/>
        <rFont val="Calibri"/>
        <family val="2"/>
      </rPr>
      <t>)</t>
    </r>
    <phoneticPr fontId="11" type="noConversion"/>
  </si>
  <si>
    <t>The weight of row number {1} in the {2} sheet is not a number.</t>
  </si>
  <si>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가중치가</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아닙니다</t>
    </r>
    <r>
      <rPr>
        <sz val="9"/>
        <color theme="1"/>
        <rFont val="Calibri"/>
        <family val="2"/>
      </rPr>
      <t>.</t>
    </r>
  </si>
  <si>
    <t>There are no executable programs that open the deliverables.</t>
  </si>
  <si>
    <r>
      <rPr>
        <sz val="9"/>
        <color theme="1"/>
        <rFont val="맑은 고딕"/>
        <family val="3"/>
        <charset val="129"/>
      </rPr>
      <t>입력한</t>
    </r>
    <r>
      <rPr>
        <sz val="9"/>
        <color theme="1"/>
        <rFont val="Calibri"/>
        <family val="2"/>
      </rPr>
      <t xml:space="preserve"> </t>
    </r>
    <r>
      <rPr>
        <sz val="9"/>
        <color theme="1"/>
        <rFont val="맑은 고딕"/>
        <family val="3"/>
        <charset val="129"/>
      </rPr>
      <t>산출물을</t>
    </r>
    <r>
      <rPr>
        <sz val="9"/>
        <color theme="1"/>
        <rFont val="Calibri"/>
        <family val="2"/>
      </rPr>
      <t xml:space="preserve"> </t>
    </r>
    <r>
      <rPr>
        <sz val="9"/>
        <color theme="1"/>
        <rFont val="맑은 고딕"/>
        <family val="3"/>
        <charset val="129"/>
      </rPr>
      <t>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실행프로그램이</t>
    </r>
    <r>
      <rPr>
        <sz val="9"/>
        <color theme="1"/>
        <rFont val="Calibri"/>
        <family val="2"/>
      </rPr>
      <t xml:space="preserve"> </t>
    </r>
    <r>
      <rPr>
        <sz val="9"/>
        <color theme="1"/>
        <rFont val="맑은 고딕"/>
        <family val="3"/>
        <charset val="129"/>
      </rPr>
      <t>없습니다</t>
    </r>
    <r>
      <rPr>
        <sz val="9"/>
        <color theme="1"/>
        <rFont val="Calibri"/>
        <family val="2"/>
      </rPr>
      <t>.</t>
    </r>
  </si>
  <si>
    <t>There is an error in the total workload or planned workload field of row number {1} in the {2} sheet. Please check that the start / finish date was entered correctly, or that the formula is correct.</t>
  </si>
  <si>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총작업량</t>
    </r>
    <r>
      <rPr>
        <sz val="9"/>
        <color theme="1"/>
        <rFont val="Calibri"/>
        <family val="2"/>
      </rPr>
      <t xml:space="preserve"> </t>
    </r>
    <r>
      <rPr>
        <sz val="9"/>
        <color theme="1"/>
        <rFont val="맑은 고딕"/>
        <family val="3"/>
        <charset val="129"/>
      </rPr>
      <t>또는계획작업량</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오류가</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완료일이</t>
    </r>
    <r>
      <rPr>
        <sz val="9"/>
        <color theme="1"/>
        <rFont val="Calibri"/>
        <family val="2"/>
      </rPr>
      <t xml:space="preserve"> </t>
    </r>
    <r>
      <rPr>
        <sz val="9"/>
        <color theme="1"/>
        <rFont val="맑은 고딕"/>
        <family val="3"/>
        <charset val="129"/>
      </rPr>
      <t>잘못</t>
    </r>
    <r>
      <rPr>
        <sz val="9"/>
        <color theme="1"/>
        <rFont val="Calibri"/>
        <family val="2"/>
      </rPr>
      <t xml:space="preserve"> </t>
    </r>
    <r>
      <rPr>
        <sz val="9"/>
        <color theme="1"/>
        <rFont val="맑은 고딕"/>
        <family val="3"/>
        <charset val="129"/>
      </rPr>
      <t>입력되었는지</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수식에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없는지</t>
    </r>
    <r>
      <rPr>
        <sz val="9"/>
        <color theme="1"/>
        <rFont val="Calibri"/>
        <family val="2"/>
      </rPr>
      <t xml:space="preserve"> </t>
    </r>
    <r>
      <rPr>
        <sz val="9"/>
        <color theme="1"/>
        <rFont val="맑은 고딕"/>
        <family val="3"/>
        <charset val="129"/>
      </rPr>
      <t>확인하세요</t>
    </r>
    <r>
      <rPr>
        <sz val="9"/>
        <color theme="1"/>
        <rFont val="Calibri"/>
        <family val="2"/>
      </rPr>
      <t>.</t>
    </r>
  </si>
  <si>
    <t>There is no data in the following files</t>
  </si>
  <si>
    <r>
      <rPr>
        <sz val="9"/>
        <color theme="1"/>
        <rFont val="맑은 고딕"/>
        <family val="3"/>
        <charset val="129"/>
      </rPr>
      <t>다음</t>
    </r>
    <r>
      <rPr>
        <sz val="9"/>
        <color theme="1"/>
        <rFont val="Calibri"/>
        <family val="2"/>
      </rPr>
      <t xml:space="preserve"> </t>
    </r>
    <r>
      <rPr>
        <sz val="9"/>
        <color theme="1"/>
        <rFont val="맑은 고딕"/>
        <family val="3"/>
        <charset val="129"/>
      </rPr>
      <t>파일에</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t>
    </r>
  </si>
  <si>
    <t>There is no input data</t>
  </si>
  <si>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</si>
  <si>
    <t>There is no input data that will be calculated.</t>
  </si>
  <si>
    <r>
      <rPr>
        <sz val="9"/>
        <color theme="1"/>
        <rFont val="맑은 고딕"/>
        <family val="3"/>
        <charset val="129"/>
      </rPr>
      <t>계산할</t>
    </r>
    <r>
      <rPr>
        <sz val="9"/>
        <color theme="1"/>
        <rFont val="Calibri"/>
        <family val="2"/>
      </rPr>
      <t xml:space="preserve"> </t>
    </r>
    <r>
      <rPr>
        <sz val="9"/>
        <color theme="1"/>
        <rFont val="맑은 고딕"/>
        <family val="3"/>
        <charset val="129"/>
      </rPr>
      <t>입력자료가</t>
    </r>
    <r>
      <rPr>
        <sz val="9"/>
        <color theme="1"/>
        <rFont val="Calibri"/>
        <family val="2"/>
      </rPr>
      <t xml:space="preserve"> </t>
    </r>
    <r>
      <rPr>
        <sz val="9"/>
        <color theme="1"/>
        <rFont val="맑은 고딕"/>
        <family val="3"/>
        <charset val="129"/>
      </rPr>
      <t>없습니다</t>
    </r>
    <r>
      <rPr>
        <sz val="9"/>
        <color theme="1"/>
        <rFont val="Calibri"/>
        <family val="2"/>
      </rPr>
      <t>.</t>
    </r>
  </si>
  <si>
    <t>There is no input data.</t>
  </si>
  <si>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t>
    </r>
  </si>
  <si>
    <t>There is no input data. Please enter after reformatting.</t>
  </si>
  <si>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 xml:space="preserve">. </t>
    </r>
    <r>
      <rPr>
        <sz val="9"/>
        <color theme="1"/>
        <rFont val="맑은 고딕"/>
        <family val="3"/>
        <charset val="129"/>
      </rPr>
      <t>입력</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서식재설정</t>
    </r>
    <r>
      <rPr>
        <sz val="9"/>
        <color theme="1"/>
        <rFont val="Calibri"/>
        <family val="2"/>
      </rPr>
      <t xml:space="preserve"> </t>
    </r>
    <r>
      <rPr>
        <sz val="9"/>
        <color theme="1"/>
        <rFont val="맑은 고딕"/>
        <family val="3"/>
        <charset val="129"/>
      </rPr>
      <t>해</t>
    </r>
    <r>
      <rPr>
        <sz val="9"/>
        <color theme="1"/>
        <rFont val="Calibri"/>
        <family val="2"/>
      </rPr>
      <t xml:space="preserve"> </t>
    </r>
    <r>
      <rPr>
        <sz val="9"/>
        <color theme="1"/>
        <rFont val="맑은 고딕"/>
        <family val="3"/>
        <charset val="129"/>
      </rPr>
      <t>주세요</t>
    </r>
    <r>
      <rPr>
        <sz val="9"/>
        <color theme="1"/>
        <rFont val="Calibri"/>
        <family val="2"/>
      </rPr>
      <t>.</t>
    </r>
  </si>
  <si>
    <t>There was an error in "Progress Line" drawing. This can happen if the actual start date or actual finish date is beyond the project period. Check the message below.</t>
  </si>
  <si>
    <r>
      <rPr>
        <sz val="9"/>
        <color theme="1"/>
        <rFont val="맑은 고딕"/>
        <family val="3"/>
        <charset val="129"/>
      </rPr>
      <t>진척율선</t>
    </r>
    <r>
      <rPr>
        <sz val="9"/>
        <color theme="1"/>
        <rFont val="Calibri"/>
        <family val="2"/>
      </rPr>
      <t xml:space="preserve"> </t>
    </r>
    <r>
      <rPr>
        <sz val="9"/>
        <color theme="1"/>
        <rFont val="맑은 고딕"/>
        <family val="3"/>
        <charset val="129"/>
      </rPr>
      <t>그리기</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실제시작일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실제완료일이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벗어난</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발생할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확인하십시오</t>
    </r>
    <r>
      <rPr>
        <sz val="9"/>
        <color theme="1"/>
        <rFont val="Calibri"/>
        <family val="2"/>
      </rPr>
      <t>.</t>
    </r>
  </si>
  <si>
    <t>This area can not be selected. Please select an area that contains tasks.</t>
  </si>
  <si>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없는</t>
    </r>
    <r>
      <rPr>
        <sz val="9"/>
        <color theme="1"/>
        <rFont val="Calibri"/>
        <family val="2"/>
      </rPr>
      <t xml:space="preserve"> </t>
    </r>
    <r>
      <rPr>
        <sz val="9"/>
        <color theme="1"/>
        <rFont val="맑은 고딕"/>
        <family val="3"/>
        <charset val="129"/>
      </rPr>
      <t>영역입니다</t>
    </r>
    <r>
      <rPr>
        <sz val="9"/>
        <color theme="1"/>
        <rFont val="Calibri"/>
        <family val="2"/>
      </rPr>
      <t xml:space="preserve">. </t>
    </r>
    <r>
      <rPr>
        <sz val="9"/>
        <color theme="1"/>
        <rFont val="맑은 고딕"/>
        <family val="3"/>
        <charset val="129"/>
      </rPr>
      <t>작업명이</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선택하세요</t>
    </r>
    <r>
      <rPr>
        <sz val="9"/>
        <color theme="1"/>
        <rFont val="Calibri"/>
        <family val="2"/>
      </rPr>
      <t>.</t>
    </r>
  </si>
  <si>
    <t>This Month only</t>
  </si>
  <si>
    <r>
      <rPr>
        <sz val="9"/>
        <color theme="1"/>
        <rFont val="맑은 고딕"/>
        <family val="3"/>
        <charset val="129"/>
      </rPr>
      <t>이번</t>
    </r>
    <r>
      <rPr>
        <sz val="9"/>
        <color theme="1"/>
        <rFont val="Calibri"/>
        <family val="2"/>
      </rPr>
      <t xml:space="preserve"> </t>
    </r>
    <r>
      <rPr>
        <sz val="9"/>
        <color theme="1"/>
        <rFont val="맑은 고딕"/>
        <family val="3"/>
        <charset val="129"/>
      </rPr>
      <t>달</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</si>
  <si>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t>This Week only</t>
  </si>
  <si>
    <r>
      <rPr>
        <sz val="9"/>
        <color theme="1"/>
        <rFont val="맑은 고딕"/>
        <family val="3"/>
        <charset val="129"/>
      </rPr>
      <t>이번</t>
    </r>
    <r>
      <rPr>
        <sz val="9"/>
        <color theme="1"/>
        <rFont val="Calibri"/>
        <family val="2"/>
      </rPr>
      <t xml:space="preserve"> </t>
    </r>
    <r>
      <rPr>
        <sz val="9"/>
        <color theme="1"/>
        <rFont val="맑은 고딕"/>
        <family val="3"/>
        <charset val="129"/>
      </rPr>
      <t>주</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</si>
  <si>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t>This XLGantt is not the latest version. Download the latest version from the following site.</t>
  </si>
  <si>
    <r>
      <rPr>
        <sz val="9"/>
        <color theme="1"/>
        <rFont val="맑은 고딕"/>
        <family val="3"/>
        <charset val="129"/>
      </rPr>
      <t>지금</t>
    </r>
    <r>
      <rPr>
        <sz val="9"/>
        <color theme="1"/>
        <rFont val="Calibri"/>
        <family val="2"/>
      </rPr>
      <t xml:space="preserve"> </t>
    </r>
    <r>
      <rPr>
        <sz val="9"/>
        <color theme="1"/>
        <rFont val="맑은 고딕"/>
        <family val="3"/>
        <charset val="129"/>
      </rPr>
      <t>사용하고</t>
    </r>
    <r>
      <rPr>
        <sz val="9"/>
        <color theme="1"/>
        <rFont val="Calibri"/>
        <family val="2"/>
      </rPr>
      <t xml:space="preserve"> </t>
    </r>
    <r>
      <rPr>
        <sz val="9"/>
        <color theme="1"/>
        <rFont val="맑은 고딕"/>
        <family val="3"/>
        <charset val="129"/>
      </rPr>
      <t>계신</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최신버전이</t>
    </r>
    <r>
      <rPr>
        <sz val="9"/>
        <color theme="1"/>
        <rFont val="Calibri"/>
        <family val="2"/>
      </rPr>
      <t xml:space="preserve"> </t>
    </r>
    <r>
      <rPr>
        <sz val="9"/>
        <color theme="1"/>
        <rFont val="맑은 고딕"/>
        <family val="3"/>
        <charset val="129"/>
      </rPr>
      <t>아닙니다</t>
    </r>
    <r>
      <rPr>
        <sz val="9"/>
        <color theme="1"/>
        <rFont val="Calibri"/>
        <family val="2"/>
      </rPr>
      <t xml:space="preserve">.\n_x000D_
</t>
    </r>
    <r>
      <rPr>
        <sz val="9"/>
        <color theme="1"/>
        <rFont val="맑은 고딕"/>
        <family val="3"/>
        <charset val="129"/>
      </rPr>
      <t>최신버전을</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사이트에서</t>
    </r>
    <r>
      <rPr>
        <sz val="9"/>
        <color theme="1"/>
        <rFont val="Calibri"/>
        <family val="2"/>
      </rPr>
      <t xml:space="preserve"> </t>
    </r>
    <r>
      <rPr>
        <sz val="9"/>
        <color theme="1"/>
        <rFont val="맑은 고딕"/>
        <family val="3"/>
        <charset val="129"/>
      </rPr>
      <t>다운로드</t>
    </r>
    <r>
      <rPr>
        <sz val="9"/>
        <color theme="1"/>
        <rFont val="Calibri"/>
        <family val="2"/>
      </rPr>
      <t xml:space="preserve"> </t>
    </r>
    <r>
      <rPr>
        <sz val="9"/>
        <color theme="1"/>
        <rFont val="맑은 고딕"/>
        <family val="3"/>
        <charset val="129"/>
      </rPr>
      <t>받으세요</t>
    </r>
    <r>
      <rPr>
        <sz val="9"/>
        <color theme="1"/>
        <rFont val="Calibri"/>
        <family val="2"/>
      </rPr>
      <t>.</t>
    </r>
  </si>
  <si>
    <t>Thu</t>
  </si>
  <si>
    <r>
      <rPr>
        <sz val="9"/>
        <color theme="1"/>
        <rFont val="맑은 고딕"/>
        <family val="3"/>
        <charset val="129"/>
      </rPr>
      <t>목</t>
    </r>
  </si>
  <si>
    <t>Time bucket type is invalid.</t>
  </si>
  <si>
    <r>
      <t xml:space="preserve">Time bucket type </t>
    </r>
    <r>
      <rPr>
        <sz val="9"/>
        <color theme="1"/>
        <rFont val="맑은 고딕"/>
        <family val="3"/>
        <charset val="129"/>
      </rPr>
      <t>오류입니다</t>
    </r>
    <r>
      <rPr>
        <sz val="9"/>
        <color theme="1"/>
        <rFont val="Calibri"/>
        <family val="2"/>
      </rPr>
      <t>.</t>
    </r>
  </si>
  <si>
    <t>Title above Gantt chart</t>
    <phoneticPr fontId="1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</si>
  <si>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위의</t>
    </r>
    <r>
      <rPr>
        <sz val="9"/>
        <color theme="1"/>
        <rFont val="Calibri"/>
        <family val="2"/>
      </rPr>
      <t xml:space="preserve"> </t>
    </r>
    <r>
      <rPr>
        <sz val="9"/>
        <color theme="1"/>
        <rFont val="맑은 고딕"/>
        <family val="3"/>
        <charset val="129"/>
      </rPr>
      <t>타이틀</t>
    </r>
    <phoneticPr fontId="11" type="noConversion"/>
  </si>
  <si>
    <t>Title above WBS</t>
    <phoneticPr fontId="11" type="noConversion"/>
  </si>
  <si>
    <r>
      <t>WBS</t>
    </r>
    <r>
      <rPr>
        <sz val="9"/>
        <color theme="1"/>
        <rFont val="맑은 고딕"/>
        <family val="3"/>
        <charset val="129"/>
      </rPr>
      <t>영역</t>
    </r>
    <r>
      <rPr>
        <sz val="9"/>
        <color theme="1"/>
        <rFont val="Calibri"/>
        <family val="2"/>
      </rPr>
      <t xml:space="preserve"> </t>
    </r>
    <r>
      <rPr>
        <sz val="9"/>
        <color theme="1"/>
        <rFont val="맑은 고딕"/>
        <family val="3"/>
        <charset val="129"/>
      </rPr>
      <t>위의</t>
    </r>
    <r>
      <rPr>
        <sz val="9"/>
        <color theme="1"/>
        <rFont val="Calibri"/>
        <family val="2"/>
      </rPr>
      <t xml:space="preserve"> </t>
    </r>
    <r>
      <rPr>
        <sz val="9"/>
        <color theme="1"/>
        <rFont val="맑은 고딕"/>
        <family val="3"/>
        <charset val="129"/>
      </rPr>
      <t>타이틀</t>
    </r>
    <phoneticPr fontId="11" type="noConversion"/>
  </si>
  <si>
    <t>To (XLGantt)</t>
  </si>
  <si>
    <r>
      <t>Target</t>
    </r>
    <r>
      <rPr>
        <sz val="9"/>
        <color theme="1"/>
        <rFont val="맑은 고딕"/>
        <family val="3"/>
        <charset val="129"/>
      </rPr>
      <t>파일</t>
    </r>
    <r>
      <rPr>
        <sz val="9"/>
        <color theme="1"/>
        <rFont val="Calibri"/>
        <family val="2"/>
      </rPr>
      <t>(</t>
    </r>
    <r>
      <rPr>
        <sz val="9"/>
        <color theme="1"/>
        <rFont val="맑은 고딕"/>
        <family val="3"/>
        <charset val="129"/>
      </rPr>
      <t>가져온</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파일</t>
    </r>
    <r>
      <rPr>
        <sz val="9"/>
        <color theme="1"/>
        <rFont val="Calibri"/>
        <family val="2"/>
      </rPr>
      <t>)</t>
    </r>
  </si>
  <si>
    <t>To Date is invalid.</t>
  </si>
  <si>
    <r>
      <rPr>
        <sz val="9"/>
        <color theme="1"/>
        <rFont val="맑은 고딕"/>
        <family val="3"/>
        <charset val="129"/>
      </rPr>
      <t>끝날짜</t>
    </r>
    <r>
      <rPr>
        <sz val="9"/>
        <color theme="1"/>
        <rFont val="Calibri"/>
        <family val="2"/>
      </rPr>
      <t xml:space="preserve"> </t>
    </r>
    <r>
      <rPr>
        <sz val="9"/>
        <color theme="1"/>
        <rFont val="맑은 고딕"/>
        <family val="3"/>
        <charset val="129"/>
      </rPr>
      <t>형식이</t>
    </r>
    <r>
      <rPr>
        <sz val="9"/>
        <color theme="1"/>
        <rFont val="Calibri"/>
        <family val="2"/>
      </rPr>
      <t xml:space="preserve"> </t>
    </r>
    <r>
      <rPr>
        <sz val="9"/>
        <color theme="1"/>
        <rFont val="맑은 고딕"/>
        <family val="3"/>
        <charset val="129"/>
      </rPr>
      <t>잘못되었습니다</t>
    </r>
    <r>
      <rPr>
        <sz val="9"/>
        <color theme="1"/>
        <rFont val="Calibri"/>
        <family val="2"/>
      </rPr>
      <t>.</t>
    </r>
  </si>
  <si>
    <t>To import files from source to the target file, map the respective fields.\nSelect a field in source file first and then find a corresponding field in the target file.</t>
  </si>
  <si>
    <r>
      <t>Source</t>
    </r>
    <r>
      <rPr>
        <sz val="9"/>
        <color theme="1"/>
        <rFont val="맑은 고딕"/>
        <family val="3"/>
        <charset val="129"/>
      </rPr>
      <t>파일에서</t>
    </r>
    <r>
      <rPr>
        <sz val="9"/>
        <color theme="1"/>
        <rFont val="Calibri"/>
        <family val="2"/>
      </rPr>
      <t xml:space="preserve"> Target</t>
    </r>
    <r>
      <rPr>
        <sz val="9"/>
        <color theme="1"/>
        <rFont val="맑은 고딕"/>
        <family val="3"/>
        <charset val="129"/>
      </rPr>
      <t>파일로</t>
    </r>
    <r>
      <rPr>
        <sz val="9"/>
        <color theme="1"/>
        <rFont val="Calibri"/>
        <family val="2"/>
      </rPr>
      <t xml:space="preserve"> </t>
    </r>
    <r>
      <rPr>
        <sz val="9"/>
        <color theme="1"/>
        <rFont val="맑은 고딕"/>
        <family val="3"/>
        <charset val="129"/>
      </rPr>
      <t>가져오기</t>
    </r>
    <r>
      <rPr>
        <sz val="9"/>
        <color theme="1"/>
        <rFont val="Calibri"/>
        <family val="2"/>
      </rPr>
      <t xml:space="preserve"> </t>
    </r>
    <r>
      <rPr>
        <sz val="9"/>
        <color theme="1"/>
        <rFont val="맑은 고딕"/>
        <family val="3"/>
        <charset val="129"/>
      </rPr>
      <t>위해서</t>
    </r>
    <r>
      <rPr>
        <sz val="9"/>
        <color theme="1"/>
        <rFont val="Calibri"/>
        <family val="2"/>
      </rPr>
      <t xml:space="preserve"> </t>
    </r>
    <r>
      <rPr>
        <sz val="9"/>
        <color theme="1"/>
        <rFont val="맑은 고딕"/>
        <family val="3"/>
        <charset val="129"/>
      </rPr>
      <t>각각의</t>
    </r>
    <r>
      <rPr>
        <sz val="9"/>
        <color theme="1"/>
        <rFont val="Calibri"/>
        <family val="2"/>
      </rPr>
      <t xml:space="preserve"> </t>
    </r>
    <r>
      <rPr>
        <sz val="9"/>
        <color theme="1"/>
        <rFont val="맑은 고딕"/>
        <family val="3"/>
        <charset val="129"/>
      </rPr>
      <t>필드를</t>
    </r>
    <r>
      <rPr>
        <sz val="9"/>
        <color theme="1"/>
        <rFont val="Calibri"/>
        <family val="2"/>
      </rPr>
      <t xml:space="preserve"> Mapping</t>
    </r>
    <r>
      <rPr>
        <sz val="9"/>
        <color theme="1"/>
        <rFont val="맑은 고딕"/>
        <family val="3"/>
        <charset val="129"/>
      </rPr>
      <t>합니다</t>
    </r>
    <r>
      <rPr>
        <sz val="9"/>
        <color theme="1"/>
        <rFont val="Calibri"/>
        <family val="2"/>
      </rPr>
      <t>. _x000D_
Source</t>
    </r>
    <r>
      <rPr>
        <sz val="9"/>
        <color theme="1"/>
        <rFont val="맑은 고딕"/>
        <family val="3"/>
        <charset val="129"/>
      </rPr>
      <t>파일의</t>
    </r>
    <r>
      <rPr>
        <sz val="9"/>
        <color theme="1"/>
        <rFont val="Calibri"/>
        <family val="2"/>
      </rPr>
      <t xml:space="preserve"> </t>
    </r>
    <r>
      <rPr>
        <sz val="9"/>
        <color theme="1"/>
        <rFont val="맑은 고딕"/>
        <family val="3"/>
        <charset val="129"/>
      </rPr>
      <t>필드를</t>
    </r>
    <r>
      <rPr>
        <sz val="9"/>
        <color theme="1"/>
        <rFont val="Calibri"/>
        <family val="2"/>
      </rPr>
      <t xml:space="preserve"> </t>
    </r>
    <r>
      <rPr>
        <sz val="9"/>
        <color theme="1"/>
        <rFont val="맑은 고딕"/>
        <family val="3"/>
        <charset val="129"/>
      </rPr>
      <t>먼저</t>
    </r>
    <r>
      <rPr>
        <sz val="9"/>
        <color theme="1"/>
        <rFont val="Calibri"/>
        <family val="2"/>
      </rPr>
      <t xml:space="preserve"> </t>
    </r>
    <r>
      <rPr>
        <sz val="9"/>
        <color theme="1"/>
        <rFont val="맑은 고딕"/>
        <family val="3"/>
        <charset val="129"/>
      </rPr>
      <t>선택하고</t>
    </r>
    <r>
      <rPr>
        <sz val="9"/>
        <color theme="1"/>
        <rFont val="Calibri"/>
        <family val="2"/>
      </rPr>
      <t xml:space="preserve"> </t>
    </r>
    <r>
      <rPr>
        <sz val="9"/>
        <color theme="1"/>
        <rFont val="맑은 고딕"/>
        <family val="3"/>
        <charset val="129"/>
      </rPr>
      <t>해당되는</t>
    </r>
    <r>
      <rPr>
        <sz val="9"/>
        <color theme="1"/>
        <rFont val="Calibri"/>
        <family val="2"/>
      </rPr>
      <t xml:space="preserve"> </t>
    </r>
    <r>
      <rPr>
        <sz val="9"/>
        <color theme="1"/>
        <rFont val="맑은 고딕"/>
        <family val="3"/>
        <charset val="129"/>
      </rPr>
      <t>필드를</t>
    </r>
    <r>
      <rPr>
        <sz val="9"/>
        <color theme="1"/>
        <rFont val="Calibri"/>
        <family val="2"/>
      </rPr>
      <t xml:space="preserve"> Targe</t>
    </r>
    <r>
      <rPr>
        <sz val="9"/>
        <color theme="1"/>
        <rFont val="맑은 고딕"/>
        <family val="3"/>
        <charset val="129"/>
      </rPr>
      <t>파일에서</t>
    </r>
    <r>
      <rPr>
        <sz val="9"/>
        <color theme="1"/>
        <rFont val="Calibri"/>
        <family val="2"/>
      </rPr>
      <t xml:space="preserve"> </t>
    </r>
    <r>
      <rPr>
        <sz val="9"/>
        <color theme="1"/>
        <rFont val="맑은 고딕"/>
        <family val="3"/>
        <charset val="129"/>
      </rPr>
      <t>찾아서</t>
    </r>
    <r>
      <rPr>
        <sz val="9"/>
        <color theme="1"/>
        <rFont val="Calibri"/>
        <family val="2"/>
      </rPr>
      <t xml:space="preserve"> Mapping</t>
    </r>
    <r>
      <rPr>
        <sz val="9"/>
        <color theme="1"/>
        <rFont val="맑은 고딕"/>
        <family val="3"/>
        <charset val="129"/>
      </rPr>
      <t>합니다</t>
    </r>
    <r>
      <rPr>
        <sz val="9"/>
        <color theme="1"/>
        <rFont val="Calibri"/>
        <family val="2"/>
      </rPr>
      <t>.</t>
    </r>
  </si>
  <si>
    <t>Today</t>
  </si>
  <si>
    <r>
      <rPr>
        <sz val="9"/>
        <color theme="1"/>
        <rFont val="맑은 고딕"/>
        <family val="3"/>
        <charset val="129"/>
      </rPr>
      <t>오늘</t>
    </r>
  </si>
  <si>
    <t>Today only</t>
  </si>
  <si>
    <r>
      <rPr>
        <sz val="9"/>
        <color theme="1"/>
        <rFont val="맑은 고딕"/>
        <family val="3"/>
        <charset val="129"/>
      </rPr>
      <t>오늘</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</si>
  <si>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t>Total Duration</t>
  </si>
  <si>
    <r>
      <rPr>
        <sz val="9"/>
        <color theme="1"/>
        <rFont val="맑은 고딕"/>
        <family val="3"/>
        <charset val="129"/>
      </rPr>
      <t>총기간</t>
    </r>
  </si>
  <si>
    <t>Total Work</t>
  </si>
  <si>
    <r>
      <rPr>
        <sz val="9"/>
        <color theme="1"/>
        <rFont val="맑은 고딕"/>
        <family val="3"/>
        <charset val="129"/>
      </rPr>
      <t>총작업량</t>
    </r>
  </si>
  <si>
    <t>Total Work(A)\nMan-day</t>
  </si>
  <si>
    <r>
      <rPr>
        <sz val="9"/>
        <color theme="1"/>
        <rFont val="맑은 고딕"/>
        <family val="3"/>
        <charset val="129"/>
      </rPr>
      <t>총작업량</t>
    </r>
    <r>
      <rPr>
        <sz val="9"/>
        <color theme="1"/>
        <rFont val="Calibri"/>
        <family val="2"/>
      </rPr>
      <t>(A)\nMan-day</t>
    </r>
  </si>
  <si>
    <t>Total Work\n(Total ManDay)</t>
  </si>
  <si>
    <r>
      <rPr>
        <sz val="9"/>
        <color theme="1"/>
        <rFont val="맑은 고딕"/>
        <family val="3"/>
        <charset val="129"/>
      </rPr>
      <t>총</t>
    </r>
    <r>
      <rPr>
        <sz val="9"/>
        <color theme="1"/>
        <rFont val="Calibri"/>
        <family val="2"/>
      </rPr>
      <t xml:space="preserve"> </t>
    </r>
    <r>
      <rPr>
        <sz val="9"/>
        <color theme="1"/>
        <rFont val="맑은 고딕"/>
        <family val="3"/>
        <charset val="129"/>
      </rPr>
      <t xml:space="preserve">작업량_x000D_
</t>
    </r>
    <r>
      <rPr>
        <sz val="9"/>
        <color theme="1"/>
        <rFont val="Calibri"/>
        <family val="2"/>
      </rPr>
      <t>(</t>
    </r>
    <r>
      <rPr>
        <sz val="9"/>
        <color theme="1"/>
        <rFont val="맑은 고딕"/>
        <family val="3"/>
        <charset val="129"/>
      </rPr>
      <t>총</t>
    </r>
    <r>
      <rPr>
        <sz val="9"/>
        <color theme="1"/>
        <rFont val="Calibri"/>
        <family val="2"/>
      </rPr>
      <t xml:space="preserve">ManDay,_x000D_
</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</si>
  <si>
    <t>Total workload of the project</t>
  </si>
  <si>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작업량</t>
    </r>
  </si>
  <si>
    <t>Total__Duration</t>
    <phoneticPr fontId="13" type="noConversion"/>
  </si>
  <si>
    <r>
      <rPr>
        <sz val="9"/>
        <color theme="1"/>
        <rFont val="맑은 고딕"/>
        <family val="3"/>
        <charset val="129"/>
      </rPr>
      <t>총</t>
    </r>
    <r>
      <rPr>
        <sz val="9"/>
        <color theme="1"/>
        <rFont val="Calibri"/>
        <family val="2"/>
      </rPr>
      <t>__</t>
    </r>
    <r>
      <rPr>
        <sz val="9"/>
        <color theme="1"/>
        <rFont val="맑은 고딕"/>
        <family val="3"/>
        <charset val="129"/>
      </rPr>
      <t>기간</t>
    </r>
    <phoneticPr fontId="13" type="noConversion"/>
  </si>
  <si>
    <t>Total__Work</t>
    <phoneticPr fontId="13" type="noConversion"/>
  </si>
  <si>
    <r>
      <rPr>
        <sz val="9"/>
        <color theme="1"/>
        <rFont val="맑은 고딕"/>
        <family val="3"/>
        <charset val="129"/>
      </rPr>
      <t>총</t>
    </r>
    <r>
      <rPr>
        <sz val="9"/>
        <color theme="1"/>
        <rFont val="Calibri"/>
        <family val="2"/>
      </rPr>
      <t>__</t>
    </r>
    <r>
      <rPr>
        <sz val="9"/>
        <color theme="1"/>
        <rFont val="맑은 고딕"/>
        <family val="3"/>
        <charset val="129"/>
      </rPr>
      <t>작업량</t>
    </r>
    <phoneticPr fontId="13" type="noConversion"/>
  </si>
  <si>
    <t>Total\nDuration</t>
  </si>
  <si>
    <r>
      <rPr>
        <sz val="9"/>
        <color theme="1"/>
        <rFont val="맑은 고딕"/>
        <family val="3"/>
        <charset val="129"/>
      </rPr>
      <t>총</t>
    </r>
    <r>
      <rPr>
        <sz val="9"/>
        <color theme="1"/>
        <rFont val="Calibri"/>
        <family val="2"/>
      </rPr>
      <t>\n</t>
    </r>
    <r>
      <rPr>
        <sz val="9"/>
        <color theme="1"/>
        <rFont val="맑은 고딕"/>
        <family val="3"/>
        <charset val="129"/>
      </rPr>
      <t>기간</t>
    </r>
  </si>
  <si>
    <t>Total\nWork</t>
  </si>
  <si>
    <r>
      <rPr>
        <sz val="9"/>
        <color theme="1"/>
        <rFont val="맑은 고딕"/>
        <family val="3"/>
        <charset val="129"/>
      </rPr>
      <t>총</t>
    </r>
    <r>
      <rPr>
        <sz val="9"/>
        <color theme="1"/>
        <rFont val="Calibri"/>
        <family val="2"/>
      </rPr>
      <t>\n</t>
    </r>
    <r>
      <rPr>
        <sz val="9"/>
        <color theme="1"/>
        <rFont val="맑은 고딕"/>
        <family val="3"/>
        <charset val="129"/>
      </rPr>
      <t>작업량</t>
    </r>
  </si>
  <si>
    <t>Tue</t>
  </si>
  <si>
    <r>
      <rPr>
        <sz val="9"/>
        <color theme="1"/>
        <rFont val="맑은 고딕"/>
        <family val="3"/>
        <charset val="129"/>
      </rPr>
      <t>화</t>
    </r>
  </si>
  <si>
    <t>Type a number between 0% and 100% in "%Work Complete" field of row number {1} in the {2} sheet.</t>
  </si>
  <si>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실적진척율을</t>
    </r>
    <r>
      <rPr>
        <sz val="9"/>
        <color theme="1"/>
        <rFont val="Calibri"/>
        <family val="2"/>
      </rPr>
      <t xml:space="preserve"> 0~100% </t>
    </r>
    <r>
      <rPr>
        <sz val="9"/>
        <color theme="1"/>
        <rFont val="맑은 고딕"/>
        <family val="3"/>
        <charset val="129"/>
      </rPr>
      <t>범위로</t>
    </r>
    <r>
      <rPr>
        <sz val="9"/>
        <color theme="1"/>
        <rFont val="Calibri"/>
        <family val="2"/>
      </rPr>
      <t xml:space="preserve"> </t>
    </r>
    <r>
      <rPr>
        <sz val="9"/>
        <color theme="1"/>
        <rFont val="맑은 고딕"/>
        <family val="3"/>
        <charset val="129"/>
      </rPr>
      <t>입력해주세요</t>
    </r>
    <r>
      <rPr>
        <sz val="9"/>
        <color theme="1"/>
        <rFont val="Calibri"/>
        <family val="2"/>
      </rPr>
      <t>.</t>
    </r>
  </si>
  <si>
    <t>UI Design</t>
  </si>
  <si>
    <r>
      <rPr>
        <sz val="9"/>
        <color theme="1"/>
        <rFont val="맑은 고딕"/>
        <family val="3"/>
        <charset val="129"/>
      </rPr>
      <t>화면설계</t>
    </r>
  </si>
  <si>
    <t>Unable to open file. Please change the "Check if you save deliverables in specific directory" option to the checked state in the Setting&gt;Deliverables tab.</t>
  </si>
  <si>
    <r>
      <rPr>
        <sz val="9"/>
        <color theme="1"/>
        <rFont val="맑은 고딕"/>
        <family val="3"/>
        <charset val="129"/>
      </rPr>
      <t>파일을</t>
    </r>
    <r>
      <rPr>
        <sz val="9"/>
        <color theme="1"/>
        <rFont val="Calibri"/>
        <family val="2"/>
      </rPr>
      <t xml:space="preserve"> </t>
    </r>
    <r>
      <rPr>
        <sz val="9"/>
        <color theme="1"/>
        <rFont val="맑은 고딕"/>
        <family val="3"/>
        <charset val="129"/>
      </rPr>
      <t>열수</t>
    </r>
    <r>
      <rPr>
        <sz val="9"/>
        <color theme="1"/>
        <rFont val="Calibri"/>
        <family val="2"/>
      </rPr>
      <t xml:space="preserve"> </t>
    </r>
    <r>
      <rPr>
        <sz val="9"/>
        <color theme="1"/>
        <rFont val="맑은 고딕"/>
        <family val="3"/>
        <charset val="129"/>
      </rPr>
      <t>없습니다</t>
    </r>
    <r>
      <rPr>
        <sz val="9"/>
        <color theme="1"/>
        <rFont val="Calibri"/>
        <family val="2"/>
      </rPr>
      <t xml:space="preserve">. </t>
    </r>
    <r>
      <rPr>
        <sz val="9"/>
        <color theme="1"/>
        <rFont val="맑은 고딕"/>
        <family val="3"/>
        <charset val="129"/>
      </rPr>
      <t>환경설정</t>
    </r>
    <r>
      <rPr>
        <sz val="9"/>
        <color theme="1"/>
        <rFont val="Calibri"/>
        <family val="2"/>
      </rPr>
      <t>&gt;</t>
    </r>
    <r>
      <rPr>
        <sz val="9"/>
        <color theme="1"/>
        <rFont val="맑은 고딕"/>
        <family val="3"/>
        <charset val="129"/>
      </rPr>
      <t>산출물관리</t>
    </r>
    <r>
      <rPr>
        <sz val="9"/>
        <color theme="1"/>
        <rFont val="Calibri"/>
        <family val="2"/>
      </rPr>
      <t xml:space="preserve"> </t>
    </r>
    <r>
      <rPr>
        <sz val="9"/>
        <color theme="1"/>
        <rFont val="맑은 고딕"/>
        <family val="3"/>
        <charset val="129"/>
      </rPr>
      <t>탭에서</t>
    </r>
    <r>
      <rPr>
        <sz val="9"/>
        <color theme="1"/>
        <rFont val="Calibri"/>
        <family val="2"/>
      </rPr>
      <t xml:space="preserve"> "</t>
    </r>
    <r>
      <rPr>
        <sz val="9"/>
        <color theme="1"/>
        <rFont val="맑은 고딕"/>
        <family val="3"/>
        <charset val="129"/>
      </rPr>
      <t>산출물</t>
    </r>
    <r>
      <rPr>
        <sz val="9"/>
        <color theme="1"/>
        <rFont val="Calibri"/>
        <family val="2"/>
      </rPr>
      <t xml:space="preserve"> </t>
    </r>
    <r>
      <rPr>
        <sz val="9"/>
        <color theme="1"/>
        <rFont val="맑은 고딕"/>
        <family val="3"/>
        <charset val="129"/>
      </rPr>
      <t>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체크하세요</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체크상태로</t>
    </r>
    <r>
      <rPr>
        <sz val="9"/>
        <color theme="1"/>
        <rFont val="Calibri"/>
        <family val="2"/>
      </rPr>
      <t xml:space="preserve"> </t>
    </r>
    <r>
      <rPr>
        <sz val="9"/>
        <color theme="1"/>
        <rFont val="맑은 고딕"/>
        <family val="3"/>
        <charset val="129"/>
      </rPr>
      <t>변경해</t>
    </r>
    <r>
      <rPr>
        <sz val="9"/>
        <color theme="1"/>
        <rFont val="Calibri"/>
        <family val="2"/>
      </rPr>
      <t xml:space="preserve"> </t>
    </r>
    <r>
      <rPr>
        <sz val="9"/>
        <color theme="1"/>
        <rFont val="맑은 고딕"/>
        <family val="3"/>
        <charset val="129"/>
      </rPr>
      <t>주세요</t>
    </r>
    <r>
      <rPr>
        <sz val="9"/>
        <color theme="1"/>
        <rFont val="Calibri"/>
        <family val="2"/>
      </rPr>
      <t>.</t>
    </r>
  </si>
  <si>
    <t>Update Schedule</t>
  </si>
  <si>
    <r>
      <rPr>
        <sz val="9"/>
        <color theme="1"/>
        <rFont val="맑은 고딕"/>
        <family val="3"/>
        <charset val="129"/>
      </rPr>
      <t>스케줄</t>
    </r>
    <r>
      <rPr>
        <sz val="9"/>
        <color theme="1"/>
        <rFont val="Calibri"/>
        <family val="2"/>
      </rPr>
      <t>\n</t>
    </r>
    <r>
      <rPr>
        <sz val="9"/>
        <color theme="1"/>
        <rFont val="맑은 고딕"/>
        <family val="3"/>
        <charset val="129"/>
      </rPr>
      <t>업데이트</t>
    </r>
    <phoneticPr fontId="11" type="noConversion"/>
  </si>
  <si>
    <t>Updates</t>
  </si>
  <si>
    <r>
      <rPr>
        <sz val="9"/>
        <color theme="1"/>
        <rFont val="맑은 고딕"/>
        <family val="3"/>
        <charset val="129"/>
      </rPr>
      <t>업데이트</t>
    </r>
    <r>
      <rPr>
        <sz val="9"/>
        <color theme="1"/>
        <rFont val="Calibri"/>
        <family val="2"/>
      </rPr>
      <t xml:space="preserve"> </t>
    </r>
    <r>
      <rPr>
        <sz val="9"/>
        <color theme="1"/>
        <rFont val="맑은 고딕"/>
        <family val="3"/>
        <charset val="129"/>
      </rPr>
      <t>내용</t>
    </r>
  </si>
  <si>
    <t>Updating schedule... \nplease wait...</t>
  </si>
  <si>
    <r>
      <rPr>
        <sz val="9"/>
        <color theme="1"/>
        <rFont val="맑은 고딕"/>
        <family val="3"/>
        <charset val="129"/>
      </rPr>
      <t>스케줄업데이트</t>
    </r>
    <r>
      <rPr>
        <sz val="9"/>
        <color theme="1"/>
        <rFont val="Calibri"/>
        <family val="2"/>
      </rPr>
      <t xml:space="preserve"> </t>
    </r>
    <r>
      <rPr>
        <sz val="9"/>
        <color theme="1"/>
        <rFont val="맑은 고딕"/>
        <family val="3"/>
        <charset val="129"/>
      </rPr>
      <t>중입니다</t>
    </r>
    <r>
      <rPr>
        <sz val="9"/>
        <color theme="1"/>
        <rFont val="Calibri"/>
        <family val="2"/>
      </rPr>
      <t>...\n</t>
    </r>
    <r>
      <rPr>
        <sz val="9"/>
        <color theme="1"/>
        <rFont val="맑은 고딕"/>
        <family val="3"/>
        <charset val="129"/>
      </rPr>
      <t>잠시만</t>
    </r>
    <r>
      <rPr>
        <sz val="9"/>
        <color theme="1"/>
        <rFont val="Calibri"/>
        <family val="2"/>
      </rPr>
      <t xml:space="preserve"> </t>
    </r>
    <r>
      <rPr>
        <sz val="9"/>
        <color theme="1"/>
        <rFont val="맑은 고딕"/>
        <family val="3"/>
        <charset val="129"/>
      </rPr>
      <t>기다려</t>
    </r>
    <r>
      <rPr>
        <sz val="9"/>
        <color theme="1"/>
        <rFont val="Calibri"/>
        <family val="2"/>
      </rPr>
      <t xml:space="preserve"> </t>
    </r>
    <r>
      <rPr>
        <sz val="9"/>
        <color theme="1"/>
        <rFont val="맑은 고딕"/>
        <family val="3"/>
        <charset val="129"/>
      </rPr>
      <t>주세요</t>
    </r>
    <r>
      <rPr>
        <sz val="9"/>
        <color theme="1"/>
        <rFont val="Calibri"/>
        <family val="2"/>
      </rPr>
      <t>...</t>
    </r>
  </si>
  <si>
    <t>User Defined Calendar 1</t>
  </si>
  <si>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1</t>
    </r>
  </si>
  <si>
    <t>User Defined Calendar 2</t>
  </si>
  <si>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2</t>
    </r>
  </si>
  <si>
    <t>Variance(Actual-Planned)</t>
  </si>
  <si>
    <r>
      <rPr>
        <sz val="9"/>
        <color theme="1"/>
        <rFont val="맑은 고딕"/>
        <family val="3"/>
        <charset val="129"/>
      </rPr>
      <t>차이</t>
    </r>
    <r>
      <rPr>
        <sz val="9"/>
        <color theme="1"/>
        <rFont val="Calibri"/>
        <family val="2"/>
      </rPr>
      <t>(</t>
    </r>
    <r>
      <rPr>
        <sz val="9"/>
        <color theme="1"/>
        <rFont val="맑은 고딕"/>
        <family val="3"/>
        <charset val="129"/>
      </rPr>
      <t>실적</t>
    </r>
    <r>
      <rPr>
        <sz val="9"/>
        <color theme="1"/>
        <rFont val="Calibri"/>
        <family val="2"/>
      </rPr>
      <t>-</t>
    </r>
    <r>
      <rPr>
        <sz val="9"/>
        <color theme="1"/>
        <rFont val="맑은 고딕"/>
        <family val="3"/>
        <charset val="129"/>
      </rPr>
      <t>계획</t>
    </r>
    <r>
      <rPr>
        <sz val="9"/>
        <color theme="1"/>
        <rFont val="Calibri"/>
        <family val="2"/>
      </rPr>
      <t>)</t>
    </r>
  </si>
  <si>
    <t>WBS</t>
  </si>
  <si>
    <t>WBS Area Display</t>
  </si>
  <si>
    <r>
      <t>WBS</t>
    </r>
    <r>
      <rPr>
        <sz val="9"/>
        <color theme="1"/>
        <rFont val="맑은 고딕"/>
        <family val="3"/>
        <charset val="129"/>
      </rPr>
      <t>영역</t>
    </r>
    <r>
      <rPr>
        <sz val="9"/>
        <color theme="1"/>
        <rFont val="Calibri"/>
        <family val="2"/>
      </rPr>
      <t xml:space="preserve"> </t>
    </r>
    <r>
      <rPr>
        <sz val="9"/>
        <color theme="1"/>
        <rFont val="맑은 고딕"/>
        <family val="3"/>
        <charset val="129"/>
      </rPr>
      <t>표시방법</t>
    </r>
  </si>
  <si>
    <t>WBS Level is invalid. Enter a number only. Verify row {} of the source file.</t>
  </si>
  <si>
    <r>
      <t>WBS Level(</t>
    </r>
    <r>
      <rPr>
        <sz val="9"/>
        <color theme="1"/>
        <rFont val="맑은 고딕"/>
        <family val="3"/>
        <charset val="129"/>
      </rPr>
      <t>개요번호</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</si>
  <si>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t>WBS No.</t>
  </si>
  <si>
    <t>WBS title - auto calculated field</t>
    <phoneticPr fontId="11" type="noConversion"/>
  </si>
  <si>
    <r>
      <t xml:space="preserve">WBS </t>
    </r>
    <r>
      <rPr>
        <sz val="9"/>
        <color theme="1"/>
        <rFont val="맑은 고딕"/>
        <family val="3"/>
        <charset val="129"/>
      </rPr>
      <t>타이틀</t>
    </r>
    <r>
      <rPr>
        <sz val="9"/>
        <color theme="1"/>
        <rFont val="Calibri"/>
        <family val="2"/>
      </rPr>
      <t xml:space="preserve"> - </t>
    </r>
    <r>
      <rPr>
        <sz val="9"/>
        <color theme="1"/>
        <rFont val="맑은 고딕"/>
        <family val="3"/>
        <charset val="129"/>
      </rPr>
      <t>자동계산필드</t>
    </r>
    <phoneticPr fontId="11" type="noConversion"/>
  </si>
  <si>
    <t>WBS title - input field</t>
    <phoneticPr fontId="11" type="noConversion"/>
  </si>
  <si>
    <r>
      <t xml:space="preserve">WBS </t>
    </r>
    <r>
      <rPr>
        <sz val="9"/>
        <color theme="1"/>
        <rFont val="맑은 고딕"/>
        <family val="3"/>
        <charset val="129"/>
      </rPr>
      <t>타이틀</t>
    </r>
    <r>
      <rPr>
        <sz val="9"/>
        <color theme="1"/>
        <rFont val="Calibri"/>
        <family val="2"/>
      </rPr>
      <t xml:space="preserve"> - </t>
    </r>
    <r>
      <rPr>
        <sz val="9"/>
        <color theme="1"/>
        <rFont val="맑은 고딕"/>
        <family val="3"/>
        <charset val="129"/>
      </rPr>
      <t>입력필드</t>
    </r>
    <phoneticPr fontId="11" type="noConversion"/>
  </si>
  <si>
    <t>WBS,Gantt Chart</t>
  </si>
  <si>
    <t>Wed</t>
  </si>
  <si>
    <r>
      <rPr>
        <sz val="9"/>
        <color theme="1"/>
        <rFont val="맑은 고딕"/>
        <family val="3"/>
        <charset val="129"/>
      </rPr>
      <t>수</t>
    </r>
  </si>
  <si>
    <t>Week Numbers Display</t>
    <phoneticPr fontId="11" type="noConversion"/>
  </si>
  <si>
    <r>
      <rPr>
        <sz val="9"/>
        <color theme="1"/>
        <rFont val="맑은 고딕"/>
        <family val="3"/>
        <charset val="129"/>
      </rPr>
      <t>주차</t>
    </r>
    <r>
      <rPr>
        <sz val="9"/>
        <color theme="1"/>
        <rFont val="Calibri"/>
        <family val="2"/>
      </rPr>
      <t xml:space="preserve"> </t>
    </r>
    <r>
      <rPr>
        <sz val="9"/>
        <color theme="1"/>
        <rFont val="맑은 고딕"/>
        <family val="3"/>
        <charset val="129"/>
      </rPr>
      <t>표시방식</t>
    </r>
    <phoneticPr fontId="11" type="noConversion"/>
  </si>
  <si>
    <t>Weekly</t>
  </si>
  <si>
    <r>
      <rPr>
        <sz val="9"/>
        <color theme="1"/>
        <rFont val="맑은 고딕"/>
        <family val="3"/>
        <charset val="129"/>
      </rPr>
      <t>주별</t>
    </r>
  </si>
  <si>
    <t>Weekly view</t>
  </si>
  <si>
    <r>
      <rPr>
        <sz val="9"/>
        <color theme="1"/>
        <rFont val="맑은 고딕"/>
        <family val="3"/>
        <charset val="129"/>
      </rPr>
      <t>주별보기</t>
    </r>
  </si>
  <si>
    <t>Weeks</t>
  </si>
  <si>
    <t>Weight</t>
  </si>
  <si>
    <r>
      <rPr>
        <sz val="9"/>
        <color theme="1"/>
        <rFont val="맑은 고딕"/>
        <family val="3"/>
        <charset val="129"/>
      </rPr>
      <t>가중치</t>
    </r>
  </si>
  <si>
    <t>Weight is invalid.</t>
  </si>
  <si>
    <r>
      <rPr>
        <sz val="9"/>
        <color theme="1"/>
        <rFont val="맑은 고딕"/>
        <family val="3"/>
        <charset val="129"/>
      </rPr>
      <t>가중치의</t>
    </r>
    <r>
      <rPr>
        <sz val="9"/>
        <color theme="1"/>
        <rFont val="Calibri"/>
        <family val="2"/>
      </rPr>
      <t xml:space="preserve"> </t>
    </r>
    <r>
      <rPr>
        <sz val="9"/>
        <color theme="1"/>
        <rFont val="맑은 고딕"/>
        <family val="3"/>
        <charset val="129"/>
      </rPr>
      <t>숫자형식이</t>
    </r>
    <r>
      <rPr>
        <sz val="9"/>
        <color theme="1"/>
        <rFont val="Calibri"/>
        <family val="2"/>
      </rPr>
      <t xml:space="preserve"> </t>
    </r>
    <r>
      <rPr>
        <sz val="9"/>
        <color theme="1"/>
        <rFont val="맑은 고딕"/>
        <family val="3"/>
        <charset val="129"/>
      </rPr>
      <t>잘못되었습니다</t>
    </r>
    <r>
      <rPr>
        <sz val="9"/>
        <color theme="1"/>
        <rFont val="Calibri"/>
        <family val="2"/>
      </rPr>
      <t>.</t>
    </r>
  </si>
  <si>
    <t>Weight must be greater than zero.</t>
  </si>
  <si>
    <r>
      <rPr>
        <sz val="9"/>
        <color theme="1"/>
        <rFont val="맑은 고딕"/>
        <family val="3"/>
        <charset val="129"/>
      </rPr>
      <t>가중치는</t>
    </r>
    <r>
      <rPr>
        <sz val="9"/>
        <color theme="1"/>
        <rFont val="Calibri"/>
        <family val="2"/>
      </rPr>
      <t xml:space="preserve"> 0</t>
    </r>
    <r>
      <rPr>
        <sz val="9"/>
        <color theme="1"/>
        <rFont val="맑은 고딕"/>
        <family val="3"/>
        <charset val="129"/>
      </rPr>
      <t>보다</t>
    </r>
    <r>
      <rPr>
        <sz val="9"/>
        <color theme="1"/>
        <rFont val="Calibri"/>
        <family val="2"/>
      </rPr>
      <t xml:space="preserve"> </t>
    </r>
    <r>
      <rPr>
        <sz val="9"/>
        <color theme="1"/>
        <rFont val="맑은 고딕"/>
        <family val="3"/>
        <charset val="129"/>
      </rPr>
      <t>커야</t>
    </r>
    <r>
      <rPr>
        <sz val="9"/>
        <color theme="1"/>
        <rFont val="Calibri"/>
        <family val="2"/>
      </rPr>
      <t xml:space="preserve"> </t>
    </r>
    <r>
      <rPr>
        <sz val="9"/>
        <color theme="1"/>
        <rFont val="맑은 고딕"/>
        <family val="3"/>
        <charset val="129"/>
      </rPr>
      <t>합니다</t>
    </r>
    <r>
      <rPr>
        <sz val="9"/>
        <color theme="1"/>
        <rFont val="Calibri"/>
        <family val="2"/>
      </rPr>
      <t>.</t>
    </r>
  </si>
  <si>
    <t>When managing schedule changes</t>
    <phoneticPr fontId="11" type="noConversion"/>
  </si>
  <si>
    <r>
      <rPr>
        <sz val="9"/>
        <color theme="1"/>
        <rFont val="맑은 고딕"/>
        <family val="3"/>
        <charset val="129"/>
      </rPr>
      <t>일정변경</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phoneticPr fontId="11" type="noConversion"/>
  </si>
  <si>
    <t>When not managing schedule changes</t>
    <phoneticPr fontId="11" type="noConversion"/>
  </si>
  <si>
    <r>
      <rPr>
        <sz val="9"/>
        <color theme="1"/>
        <rFont val="맑은 고딕"/>
        <family val="3"/>
        <charset val="129"/>
      </rPr>
      <t>일정변경</t>
    </r>
    <r>
      <rPr>
        <sz val="9"/>
        <color theme="1"/>
        <rFont val="Calibri"/>
        <family val="2"/>
      </rPr>
      <t xml:space="preserve"> </t>
    </r>
    <r>
      <rPr>
        <sz val="9"/>
        <color theme="1"/>
        <rFont val="맑은 고딕"/>
        <family val="3"/>
        <charset val="129"/>
      </rPr>
      <t>관리</t>
    </r>
    <r>
      <rPr>
        <sz val="9"/>
        <color theme="1"/>
        <rFont val="Calibri"/>
        <family val="2"/>
      </rPr>
      <t xml:space="preserve"> </t>
    </r>
    <r>
      <rPr>
        <sz val="9"/>
        <color theme="1"/>
        <rFont val="맑은 고딕"/>
        <family val="3"/>
        <charset val="129"/>
      </rPr>
      <t>안할</t>
    </r>
    <r>
      <rPr>
        <sz val="9"/>
        <color theme="1"/>
        <rFont val="Calibri"/>
        <family val="2"/>
      </rPr>
      <t xml:space="preserve"> </t>
    </r>
    <r>
      <rPr>
        <sz val="9"/>
        <color theme="1"/>
        <rFont val="맑은 고딕"/>
        <family val="3"/>
        <charset val="129"/>
      </rPr>
      <t>때</t>
    </r>
    <phoneticPr fontId="11" type="noConversion"/>
  </si>
  <si>
    <t>When you enter a task and a schedule, the progress rate is calculated and the schedule of the task is displayed as a gantt chart.</t>
    <phoneticPr fontId="11" type="noConversion"/>
  </si>
  <si>
    <r>
      <rPr>
        <sz val="9"/>
        <color theme="1"/>
        <rFont val="맑은 고딕"/>
        <family val="3"/>
        <charset val="129"/>
      </rPr>
      <t>작업과</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입력하면</t>
    </r>
    <r>
      <rPr>
        <sz val="9"/>
        <color theme="1"/>
        <rFont val="Calibri"/>
        <family val="2"/>
      </rPr>
      <t xml:space="preserve"> </t>
    </r>
    <r>
      <rPr>
        <sz val="9"/>
        <color theme="1"/>
        <rFont val="맑은 고딕"/>
        <family val="3"/>
        <charset val="129"/>
      </rPr>
      <t>진척율이</t>
    </r>
    <r>
      <rPr>
        <sz val="9"/>
        <color theme="1"/>
        <rFont val="Calibri"/>
        <family val="2"/>
      </rPr>
      <t xml:space="preserve"> </t>
    </r>
    <r>
      <rPr>
        <sz val="9"/>
        <color theme="1"/>
        <rFont val="맑은 고딕"/>
        <family val="3"/>
        <charset val="129"/>
      </rPr>
      <t>계산되며</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간트차트로</t>
    </r>
    <r>
      <rPr>
        <sz val="9"/>
        <color theme="1"/>
        <rFont val="Calibri"/>
        <family val="2"/>
      </rPr>
      <t xml:space="preserve"> </t>
    </r>
    <r>
      <rPr>
        <sz val="9"/>
        <color theme="1"/>
        <rFont val="맑은 고딕"/>
        <family val="3"/>
        <charset val="129"/>
      </rPr>
      <t>표시해</t>
    </r>
    <r>
      <rPr>
        <sz val="9"/>
        <color theme="1"/>
        <rFont val="Calibri"/>
        <family val="2"/>
      </rPr>
      <t xml:space="preserve"> </t>
    </r>
    <r>
      <rPr>
        <sz val="9"/>
        <color theme="1"/>
        <rFont val="맑은 고딕"/>
        <family val="3"/>
        <charset val="129"/>
      </rPr>
      <t>준다</t>
    </r>
    <r>
      <rPr>
        <sz val="9"/>
        <color theme="1"/>
        <rFont val="Calibri"/>
        <family val="2"/>
      </rPr>
      <t>.</t>
    </r>
    <phoneticPr fontId="11" type="noConversion"/>
  </si>
  <si>
    <t>When you enter task names, start and finish dates, and %work complete values, XLGantt automatically calculates the tasks durations, planned %work complete values.</t>
    <phoneticPr fontId="11" type="noConversion"/>
  </si>
  <si>
    <r>
      <rPr>
        <sz val="9"/>
        <color theme="1"/>
        <rFont val="맑은 고딕"/>
        <family val="3"/>
        <charset val="129"/>
      </rPr>
      <t>작업명</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완료일</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입력하면</t>
    </r>
    <r>
      <rPr>
        <sz val="9"/>
        <color theme="1"/>
        <rFont val="Calibri"/>
        <family val="2"/>
      </rPr>
      <t xml:space="preserve"> </t>
    </r>
    <r>
      <rPr>
        <sz val="9"/>
        <color theme="1"/>
        <rFont val="맑은 고딕"/>
        <family val="3"/>
        <charset val="129"/>
      </rPr>
      <t>휴무일</t>
    </r>
    <r>
      <rPr>
        <sz val="9"/>
        <color theme="1"/>
        <rFont val="Calibri"/>
        <family val="2"/>
      </rPr>
      <t xml:space="preserve">, </t>
    </r>
    <r>
      <rPr>
        <sz val="9"/>
        <color theme="1"/>
        <rFont val="맑은 고딕"/>
        <family val="3"/>
        <charset val="129"/>
      </rPr>
      <t>가중치를</t>
    </r>
    <r>
      <rPr>
        <sz val="9"/>
        <color theme="1"/>
        <rFont val="Calibri"/>
        <family val="2"/>
      </rPr>
      <t xml:space="preserve"> </t>
    </r>
    <r>
      <rPr>
        <sz val="9"/>
        <color theme="1"/>
        <rFont val="맑은 고딕"/>
        <family val="3"/>
        <charset val="129"/>
      </rPr>
      <t>고려하여</t>
    </r>
    <r>
      <rPr>
        <sz val="9"/>
        <color theme="1"/>
        <rFont val="Calibri"/>
        <family val="2"/>
      </rPr>
      <t xml:space="preserve"> </t>
    </r>
    <r>
      <rPr>
        <sz val="9"/>
        <color theme="1"/>
        <rFont val="맑은 고딕"/>
        <family val="3"/>
        <charset val="129"/>
      </rPr>
      <t>자동으로</t>
    </r>
    <r>
      <rPr>
        <sz val="9"/>
        <color theme="1"/>
        <rFont val="Calibri"/>
        <family val="2"/>
      </rPr>
      <t xml:space="preserve"> </t>
    </r>
    <r>
      <rPr>
        <sz val="9"/>
        <color theme="1"/>
        <rFont val="맑은 고딕"/>
        <family val="3"/>
        <charset val="129"/>
      </rPr>
      <t>작업기간</t>
    </r>
    <r>
      <rPr>
        <sz val="9"/>
        <color theme="1"/>
        <rFont val="Calibri"/>
        <family val="2"/>
      </rPr>
      <t xml:space="preserve">, </t>
    </r>
    <r>
      <rPr>
        <sz val="9"/>
        <color theme="1"/>
        <rFont val="맑은 고딕"/>
        <family val="3"/>
        <charset val="129"/>
      </rPr>
      <t>계획진척율</t>
    </r>
    <r>
      <rPr>
        <sz val="9"/>
        <color theme="1"/>
        <rFont val="Calibri"/>
        <family val="2"/>
      </rPr>
      <t xml:space="preserve">, </t>
    </r>
    <r>
      <rPr>
        <sz val="9"/>
        <color theme="1"/>
        <rFont val="맑은 고딕"/>
        <family val="3"/>
        <charset val="129"/>
      </rPr>
      <t>실적진척율</t>
    </r>
    <r>
      <rPr>
        <sz val="9"/>
        <color theme="1"/>
        <rFont val="Calibri"/>
        <family val="2"/>
      </rPr>
      <t xml:space="preserve"> </t>
    </r>
    <r>
      <rPr>
        <sz val="9"/>
        <color theme="1"/>
        <rFont val="맑은 고딕"/>
        <family val="3"/>
        <charset val="129"/>
      </rPr>
      <t>등이</t>
    </r>
    <r>
      <rPr>
        <sz val="9"/>
        <color theme="1"/>
        <rFont val="Calibri"/>
        <family val="2"/>
      </rPr>
      <t xml:space="preserve"> </t>
    </r>
    <r>
      <rPr>
        <sz val="9"/>
        <color theme="1"/>
        <rFont val="맑은 고딕"/>
        <family val="3"/>
        <charset val="129"/>
      </rPr>
      <t>계산된다</t>
    </r>
    <r>
      <rPr>
        <sz val="9"/>
        <color theme="1"/>
        <rFont val="Calibri"/>
        <family val="2"/>
      </rPr>
      <t>.</t>
    </r>
  </si>
  <si>
    <t>Word</t>
  </si>
  <si>
    <r>
      <rPr>
        <sz val="9"/>
        <color theme="1"/>
        <rFont val="맑은 고딕"/>
        <family val="3"/>
        <charset val="129"/>
      </rPr>
      <t>워드</t>
    </r>
  </si>
  <si>
    <t>Workload Calculation</t>
    <phoneticPr fontId="11" type="noConversion"/>
  </si>
  <si>
    <r>
      <rPr>
        <sz val="9"/>
        <color theme="1"/>
        <rFont val="맑은 고딕"/>
        <family val="3"/>
        <charset val="129"/>
      </rPr>
      <t>작업량</t>
    </r>
    <r>
      <rPr>
        <sz val="9"/>
        <color theme="1"/>
        <rFont val="Calibri"/>
        <family val="2"/>
      </rPr>
      <t xml:space="preserve"> </t>
    </r>
    <r>
      <rPr>
        <sz val="9"/>
        <color theme="1"/>
        <rFont val="맑은 고딕"/>
        <family val="3"/>
        <charset val="129"/>
      </rPr>
      <t>계산</t>
    </r>
    <phoneticPr fontId="11" type="noConversion"/>
  </si>
  <si>
    <t>Workload Data</t>
    <phoneticPr fontId="11" type="noConversion"/>
  </si>
  <si>
    <t>Workload\n(Man-Day)</t>
  </si>
  <si>
    <t>Workload\n(Man-Month)</t>
  </si>
  <si>
    <t>Workloads</t>
    <phoneticPr fontId="11" type="noConversion"/>
  </si>
  <si>
    <t>Workloads by {}</t>
  </si>
  <si>
    <r>
      <t>Workload</t>
    </r>
    <r>
      <rPr>
        <sz val="9"/>
        <color theme="1"/>
        <rFont val="맑은 고딕"/>
        <family val="3"/>
        <charset val="129"/>
      </rPr>
      <t>현황</t>
    </r>
    <r>
      <rPr>
        <sz val="9"/>
        <color theme="1"/>
        <rFont val="Calibri"/>
        <family val="2"/>
      </rPr>
      <t>({})</t>
    </r>
  </si>
  <si>
    <t>Workloads by Months</t>
  </si>
  <si>
    <r>
      <t>Workload(</t>
    </r>
    <r>
      <rPr>
        <sz val="9"/>
        <color theme="1"/>
        <rFont val="맑은 고딕"/>
        <family val="3"/>
        <charset val="129"/>
      </rPr>
      <t>월별</t>
    </r>
    <r>
      <rPr>
        <sz val="9"/>
        <color theme="1"/>
        <rFont val="Calibri"/>
        <family val="2"/>
      </rPr>
      <t>)</t>
    </r>
  </si>
  <si>
    <t>Workloads by Resouces</t>
  </si>
  <si>
    <r>
      <t>Workload(</t>
    </r>
    <r>
      <rPr>
        <sz val="9"/>
        <color theme="1"/>
        <rFont val="맑은 고딕"/>
        <family val="3"/>
        <charset val="129"/>
      </rPr>
      <t>담당별</t>
    </r>
    <r>
      <rPr>
        <sz val="9"/>
        <color theme="1"/>
        <rFont val="Calibri"/>
        <family val="2"/>
      </rPr>
      <t>)</t>
    </r>
  </si>
  <si>
    <t>Workloads by Weeks</t>
  </si>
  <si>
    <r>
      <t>Workload(</t>
    </r>
    <r>
      <rPr>
        <sz val="9"/>
        <color theme="1"/>
        <rFont val="맑은 고딕"/>
        <family val="3"/>
        <charset val="129"/>
      </rPr>
      <t>주별</t>
    </r>
    <r>
      <rPr>
        <sz val="9"/>
        <color theme="1"/>
        <rFont val="Calibri"/>
        <family val="2"/>
      </rPr>
      <t>)</t>
    </r>
  </si>
  <si>
    <t>Worloads by Resources</t>
  </si>
  <si>
    <t>Would you like to update the schedule before saving?</t>
    <phoneticPr fontId="13" type="noConversion"/>
  </si>
  <si>
    <r>
      <rPr>
        <sz val="9"/>
        <color theme="1"/>
        <rFont val="맑은 고딕"/>
        <family val="3"/>
        <charset val="129"/>
      </rPr>
      <t>저장하기</t>
    </r>
    <r>
      <rPr>
        <sz val="9"/>
        <color theme="1"/>
        <rFont val="Calibri"/>
        <family val="2"/>
      </rPr>
      <t xml:space="preserve"> </t>
    </r>
    <r>
      <rPr>
        <sz val="9"/>
        <color theme="1"/>
        <rFont val="맑은 고딕"/>
        <family val="3"/>
        <charset val="129"/>
      </rPr>
      <t>전에</t>
    </r>
    <r>
      <rPr>
        <sz val="9"/>
        <color theme="1"/>
        <rFont val="Calibri"/>
        <family val="2"/>
      </rPr>
      <t xml:space="preserve"> </t>
    </r>
    <r>
      <rPr>
        <sz val="9"/>
        <color theme="1"/>
        <rFont val="맑은 고딕"/>
        <family val="3"/>
        <charset val="129"/>
      </rPr>
      <t>스케줄을</t>
    </r>
    <r>
      <rPr>
        <sz val="9"/>
        <color theme="1"/>
        <rFont val="Calibri"/>
        <family val="2"/>
      </rPr>
      <t xml:space="preserve"> </t>
    </r>
    <r>
      <rPr>
        <sz val="9"/>
        <color theme="1"/>
        <rFont val="맑은 고딕"/>
        <family val="3"/>
        <charset val="129"/>
      </rPr>
      <t>업데이트하시겠습니까</t>
    </r>
    <r>
      <rPr>
        <sz val="9"/>
        <color theme="1"/>
        <rFont val="Calibri"/>
        <family val="2"/>
      </rPr>
      <t>?\n\n[</t>
    </r>
    <r>
      <rPr>
        <sz val="9"/>
        <color theme="1"/>
        <rFont val="맑은 고딕"/>
        <family val="3"/>
        <charset val="129"/>
      </rPr>
      <t>스케줄업데이트</t>
    </r>
    <r>
      <rPr>
        <sz val="9"/>
        <color theme="1"/>
        <rFont val="Calibri"/>
        <family val="2"/>
      </rPr>
      <t>]</t>
    </r>
    <r>
      <rPr>
        <sz val="9"/>
        <color theme="1"/>
        <rFont val="맑은 고딕"/>
        <family val="3"/>
        <charset val="129"/>
      </rPr>
      <t>메뉴를</t>
    </r>
    <r>
      <rPr>
        <sz val="9"/>
        <color theme="1"/>
        <rFont val="Calibri"/>
        <family val="2"/>
      </rPr>
      <t xml:space="preserve"> </t>
    </r>
    <r>
      <rPr>
        <sz val="9"/>
        <color theme="1"/>
        <rFont val="맑은 고딕"/>
        <family val="3"/>
        <charset val="129"/>
      </rPr>
      <t>클릭할</t>
    </r>
    <r>
      <rPr>
        <sz val="9"/>
        <color theme="1"/>
        <rFont val="Calibri"/>
        <family val="2"/>
      </rPr>
      <t xml:space="preserve"> </t>
    </r>
    <r>
      <rPr>
        <sz val="9"/>
        <color theme="1"/>
        <rFont val="맑은 고딕"/>
        <family val="3"/>
        <charset val="129"/>
      </rPr>
      <t>때와</t>
    </r>
    <r>
      <rPr>
        <sz val="9"/>
        <color theme="1"/>
        <rFont val="Calibri"/>
        <family val="2"/>
      </rPr>
      <t xml:space="preserve"> </t>
    </r>
    <r>
      <rPr>
        <sz val="9"/>
        <color theme="1"/>
        <rFont val="맑은 고딕"/>
        <family val="3"/>
        <charset val="129"/>
      </rPr>
      <t>동일한</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수행합니다</t>
    </r>
    <r>
      <rPr>
        <sz val="9"/>
        <color theme="1"/>
        <rFont val="Calibri"/>
        <family val="2"/>
      </rPr>
      <t>.</t>
    </r>
    <phoneticPr fontId="13" type="noConversion"/>
  </si>
  <si>
    <t>XLGantt  - Project Scheduler</t>
    <phoneticPr fontId="11" type="noConversion"/>
  </si>
  <si>
    <r>
      <rPr>
        <sz val="9"/>
        <color theme="1"/>
        <rFont val="맑은 고딕"/>
        <family val="3"/>
        <charset val="129"/>
      </rPr>
      <t>엑셀간트</t>
    </r>
    <r>
      <rPr>
        <sz val="9"/>
        <color theme="1"/>
        <rFont val="Calibri"/>
        <family val="2"/>
      </rPr>
      <t xml:space="preserve">(XLGantt) - </t>
    </r>
    <r>
      <rPr>
        <sz val="9"/>
        <color theme="1"/>
        <rFont val="맑은 고딕"/>
        <family val="3"/>
        <charset val="129"/>
      </rPr>
      <t>엑셀</t>
    </r>
    <r>
      <rPr>
        <sz val="9"/>
        <color theme="1"/>
        <rFont val="Calibri"/>
        <family val="2"/>
      </rPr>
      <t xml:space="preserve"> </t>
    </r>
    <r>
      <rPr>
        <sz val="9"/>
        <color theme="1"/>
        <rFont val="맑은 고딕"/>
        <family val="3"/>
        <charset val="129"/>
      </rPr>
      <t>일정관리</t>
    </r>
    <phoneticPr fontId="11" type="noConversion"/>
  </si>
  <si>
    <t>XLGantt Version {} Terms of Use</t>
    <phoneticPr fontId="11" type="noConversion"/>
  </si>
  <si>
    <r>
      <t xml:space="preserve">XLGantt Version {} </t>
    </r>
    <r>
      <rPr>
        <sz val="9"/>
        <color theme="1"/>
        <rFont val="맑은 고딕"/>
        <family val="3"/>
        <charset val="129"/>
      </rPr>
      <t>사용조건</t>
    </r>
    <phoneticPr fontId="11" type="noConversion"/>
  </si>
  <si>
    <t>XLGantt Version Check</t>
  </si>
  <si>
    <t>You are using the latest version of XLGantt.\nCurrent Verison : {}</t>
  </si>
  <si>
    <r>
      <rPr>
        <sz val="9"/>
        <color theme="1"/>
        <rFont val="맑은 고딕"/>
        <family val="3"/>
        <charset val="129"/>
      </rPr>
      <t>사용하고</t>
    </r>
    <r>
      <rPr>
        <sz val="9"/>
        <color theme="1"/>
        <rFont val="Calibri"/>
        <family val="2"/>
      </rPr>
      <t xml:space="preserve"> </t>
    </r>
    <r>
      <rPr>
        <sz val="9"/>
        <color theme="1"/>
        <rFont val="맑은 고딕"/>
        <family val="3"/>
        <charset val="129"/>
      </rPr>
      <t>계신</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최신</t>
    </r>
    <r>
      <rPr>
        <sz val="9"/>
        <color theme="1"/>
        <rFont val="Calibri"/>
        <family val="2"/>
      </rPr>
      <t xml:space="preserve"> </t>
    </r>
    <r>
      <rPr>
        <sz val="9"/>
        <color theme="1"/>
        <rFont val="맑은 고딕"/>
        <family val="3"/>
        <charset val="129"/>
      </rPr>
      <t>버전입니다</t>
    </r>
    <r>
      <rPr>
        <sz val="9"/>
        <color theme="1"/>
        <rFont val="Calibri"/>
        <family val="2"/>
      </rPr>
      <t>.\n</t>
    </r>
    <r>
      <rPr>
        <sz val="9"/>
        <color theme="1"/>
        <rFont val="맑은 고딕"/>
        <family val="3"/>
        <charset val="129"/>
      </rPr>
      <t>현재</t>
    </r>
    <r>
      <rPr>
        <sz val="9"/>
        <color theme="1"/>
        <rFont val="Calibri"/>
        <family val="2"/>
      </rPr>
      <t xml:space="preserve"> </t>
    </r>
    <r>
      <rPr>
        <sz val="9"/>
        <color theme="1"/>
        <rFont val="맑은 고딕"/>
        <family val="3"/>
        <charset val="129"/>
      </rPr>
      <t>버전</t>
    </r>
    <r>
      <rPr>
        <sz val="9"/>
        <color theme="1"/>
        <rFont val="Calibri"/>
        <family val="2"/>
      </rPr>
      <t xml:space="preserve"> : {}</t>
    </r>
  </si>
  <si>
    <t>You can add "Outlook Appointments" only on the {} sheet.</t>
  </si>
  <si>
    <r>
      <t>{} Sheet</t>
    </r>
    <r>
      <rPr>
        <sz val="9"/>
        <color theme="1"/>
        <rFont val="맑은 고딕"/>
        <family val="3"/>
        <charset val="129"/>
      </rPr>
      <t>에서만</t>
    </r>
    <r>
      <rPr>
        <sz val="9"/>
        <color theme="1"/>
        <rFont val="Calibri"/>
        <family val="2"/>
      </rPr>
      <t xml:space="preserve"> Outlook</t>
    </r>
    <r>
      <rPr>
        <sz val="9"/>
        <color theme="1"/>
        <rFont val="맑은 고딕"/>
        <family val="3"/>
        <charset val="129"/>
      </rPr>
      <t>일정을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</si>
  <si>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t>You can add "Outlook Tasks" only on the {} sheet.</t>
  </si>
  <si>
    <r>
      <t>{} Sheet</t>
    </r>
    <r>
      <rPr>
        <sz val="9"/>
        <color theme="1"/>
        <rFont val="맑은 고딕"/>
        <family val="3"/>
        <charset val="129"/>
      </rPr>
      <t>에서만</t>
    </r>
    <r>
      <rPr>
        <sz val="9"/>
        <color theme="1"/>
        <rFont val="Calibri"/>
        <family val="2"/>
      </rPr>
      <t xml:space="preserve"> Outlook</t>
    </r>
    <r>
      <rPr>
        <sz val="9"/>
        <color theme="1"/>
        <rFont val="맑은 고딕"/>
        <family val="3"/>
        <charset val="129"/>
      </rPr>
      <t>작업을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</si>
  <si>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t>You can click the "Options" button on the ribbon to customize a Gantt chart style.</t>
    <phoneticPr fontId="11" type="noConversion"/>
  </si>
  <si>
    <r>
      <t>Bar chart</t>
    </r>
    <r>
      <rPr>
        <sz val="9"/>
        <color theme="1"/>
        <rFont val="맑은 고딕"/>
        <family val="3"/>
        <charset val="129"/>
      </rPr>
      <t>형태로</t>
    </r>
    <r>
      <rPr>
        <sz val="9"/>
        <color theme="1"/>
        <rFont val="Calibri"/>
        <family val="2"/>
      </rPr>
      <t xml:space="preserve"> </t>
    </r>
    <r>
      <rPr>
        <sz val="9"/>
        <color theme="1"/>
        <rFont val="맑은 고딕"/>
        <family val="3"/>
        <charset val="129"/>
      </rPr>
      <t>간트차트를</t>
    </r>
    <r>
      <rPr>
        <sz val="9"/>
        <color theme="1"/>
        <rFont val="Calibri"/>
        <family val="2"/>
      </rPr>
      <t xml:space="preserve"> </t>
    </r>
    <r>
      <rPr>
        <sz val="9"/>
        <color theme="1"/>
        <rFont val="맑은 고딕"/>
        <family val="3"/>
        <charset val="129"/>
      </rPr>
      <t>보여주며</t>
    </r>
    <r>
      <rPr>
        <sz val="9"/>
        <color theme="1"/>
        <rFont val="Calibri"/>
        <family val="2"/>
      </rPr>
      <t xml:space="preserve"> </t>
    </r>
    <r>
      <rPr>
        <sz val="9"/>
        <color theme="1"/>
        <rFont val="맑은 고딕"/>
        <family val="3"/>
        <charset val="129"/>
      </rPr>
      <t>여러</t>
    </r>
    <r>
      <rPr>
        <sz val="9"/>
        <color theme="1"/>
        <rFont val="Calibri"/>
        <family val="2"/>
      </rPr>
      <t xml:space="preserve"> </t>
    </r>
    <r>
      <rPr>
        <sz val="9"/>
        <color theme="1"/>
        <rFont val="맑은 고딕"/>
        <family val="3"/>
        <charset val="129"/>
      </rPr>
      <t>가지</t>
    </r>
    <r>
      <rPr>
        <sz val="9"/>
        <color theme="1"/>
        <rFont val="Calibri"/>
        <family val="2"/>
      </rPr>
      <t xml:space="preserve"> </t>
    </r>
    <r>
      <rPr>
        <sz val="9"/>
        <color theme="1"/>
        <rFont val="맑은 고딕"/>
        <family val="3"/>
        <charset val="129"/>
      </rPr>
      <t>표시방법을</t>
    </r>
    <r>
      <rPr>
        <sz val="9"/>
        <color theme="1"/>
        <rFont val="Calibri"/>
        <family val="2"/>
      </rPr>
      <t xml:space="preserve"> </t>
    </r>
    <r>
      <rPr>
        <sz val="9"/>
        <color theme="1"/>
        <rFont val="맑은 고딕"/>
        <family val="3"/>
        <charset val="129"/>
      </rPr>
      <t>옵션에서</t>
    </r>
    <r>
      <rPr>
        <sz val="9"/>
        <color theme="1"/>
        <rFont val="Calibri"/>
        <family val="2"/>
      </rPr>
      <t xml:space="preserve"> </t>
    </r>
    <r>
      <rPr>
        <sz val="9"/>
        <color theme="1"/>
        <rFont val="맑은 고딕"/>
        <family val="3"/>
        <charset val="129"/>
      </rPr>
      <t>설정할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</si>
  <si>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t>You can edit task only on the {} sheet.</t>
  </si>
  <si>
    <r>
      <t>{} Sheet</t>
    </r>
    <r>
      <rPr>
        <sz val="9"/>
        <color theme="1"/>
        <rFont val="맑은 고딕"/>
        <family val="3"/>
        <charset val="129"/>
      </rPr>
      <t>에서만</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편집할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</si>
  <si>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t>You can include the formulas and functions of the Excel in XLGantt.</t>
    <phoneticPr fontId="11" type="noConversion"/>
  </si>
  <si>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정보를</t>
    </r>
    <r>
      <rPr>
        <sz val="9"/>
        <color theme="1"/>
        <rFont val="Calibri"/>
        <family val="2"/>
      </rPr>
      <t xml:space="preserve"> </t>
    </r>
    <r>
      <rPr>
        <sz val="9"/>
        <color theme="1"/>
        <rFont val="맑은 고딕"/>
        <family val="3"/>
        <charset val="129"/>
      </rPr>
      <t>가지고</t>
    </r>
    <r>
      <rPr>
        <sz val="9"/>
        <color theme="1"/>
        <rFont val="Calibri"/>
        <family val="2"/>
      </rPr>
      <t xml:space="preserve"> </t>
    </r>
    <r>
      <rPr>
        <sz val="9"/>
        <color theme="1"/>
        <rFont val="맑은 고딕"/>
        <family val="3"/>
        <charset val="129"/>
      </rPr>
      <t>올</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함수와</t>
    </r>
    <r>
      <rPr>
        <sz val="9"/>
        <color theme="1"/>
        <rFont val="Calibri"/>
        <family val="2"/>
      </rPr>
      <t xml:space="preserve"> </t>
    </r>
    <r>
      <rPr>
        <sz val="9"/>
        <color theme="1"/>
        <rFont val="맑은 고딕"/>
        <family val="3"/>
        <charset val="129"/>
      </rPr>
      <t>엑셀의</t>
    </r>
    <r>
      <rPr>
        <sz val="9"/>
        <color theme="1"/>
        <rFont val="Calibri"/>
        <family val="2"/>
      </rPr>
      <t xml:space="preserve"> </t>
    </r>
    <r>
      <rPr>
        <sz val="9"/>
        <color theme="1"/>
        <rFont val="맑은 고딕"/>
        <family val="3"/>
        <charset val="129"/>
      </rPr>
      <t>수식계산</t>
    </r>
    <r>
      <rPr>
        <sz val="9"/>
        <color theme="1"/>
        <rFont val="Calibri"/>
        <family val="2"/>
      </rPr>
      <t xml:space="preserve"> </t>
    </r>
    <r>
      <rPr>
        <sz val="9"/>
        <color theme="1"/>
        <rFont val="맑은 고딕"/>
        <family val="3"/>
        <charset val="129"/>
      </rPr>
      <t>기능</t>
    </r>
    <r>
      <rPr>
        <sz val="9"/>
        <color theme="1"/>
        <rFont val="Calibri"/>
        <family val="2"/>
      </rPr>
      <t xml:space="preserve"> </t>
    </r>
    <r>
      <rPr>
        <sz val="9"/>
        <color theme="1"/>
        <rFont val="맑은 고딕"/>
        <family val="3"/>
        <charset val="129"/>
      </rPr>
      <t>등을</t>
    </r>
    <r>
      <rPr>
        <sz val="9"/>
        <color theme="1"/>
        <rFont val="Calibri"/>
        <family val="2"/>
      </rPr>
      <t xml:space="preserve"> </t>
    </r>
    <r>
      <rPr>
        <sz val="9"/>
        <color theme="1"/>
        <rFont val="맑은 고딕"/>
        <family val="3"/>
        <charset val="129"/>
      </rPr>
      <t>엑셀간트에</t>
    </r>
    <r>
      <rPr>
        <sz val="9"/>
        <color theme="1"/>
        <rFont val="Calibri"/>
        <family val="2"/>
      </rPr>
      <t xml:space="preserve"> </t>
    </r>
    <r>
      <rPr>
        <sz val="9"/>
        <color theme="1"/>
        <rFont val="맑은 고딕"/>
        <family val="3"/>
        <charset val="129"/>
      </rPr>
      <t>포함할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제공하고</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이용하면</t>
    </r>
    <r>
      <rPr>
        <sz val="9"/>
        <color theme="1"/>
        <rFont val="Calibri"/>
        <family val="2"/>
      </rPr>
      <t xml:space="preserve"> </t>
    </r>
    <r>
      <rPr>
        <sz val="9"/>
        <color theme="1"/>
        <rFont val="맑은 고딕"/>
        <family val="3"/>
        <charset val="129"/>
      </rPr>
      <t>프로젝트의</t>
    </r>
    <r>
      <rPr>
        <sz val="9"/>
        <color theme="1"/>
        <rFont val="Calibri"/>
        <family val="2"/>
      </rPr>
      <t xml:space="preserve"> </t>
    </r>
    <r>
      <rPr>
        <sz val="9"/>
        <color theme="1"/>
        <rFont val="맑은 고딕"/>
        <family val="3"/>
        <charset val="129"/>
      </rPr>
      <t>상황에</t>
    </r>
    <r>
      <rPr>
        <sz val="9"/>
        <color theme="1"/>
        <rFont val="Calibri"/>
        <family val="2"/>
      </rPr>
      <t xml:space="preserve"> </t>
    </r>
    <r>
      <rPr>
        <sz val="9"/>
        <color theme="1"/>
        <rFont val="맑은 고딕"/>
        <family val="3"/>
        <charset val="129"/>
      </rPr>
      <t>맞도록</t>
    </r>
    <r>
      <rPr>
        <sz val="9"/>
        <color theme="1"/>
        <rFont val="Calibri"/>
        <family val="2"/>
      </rPr>
      <t xml:space="preserve"> </t>
    </r>
    <r>
      <rPr>
        <sz val="9"/>
        <color theme="1"/>
        <rFont val="맑은 고딕"/>
        <family val="3"/>
        <charset val="129"/>
      </rPr>
      <t>엑셀간트를</t>
    </r>
    <r>
      <rPr>
        <sz val="9"/>
        <color theme="1"/>
        <rFont val="Calibri"/>
        <family val="2"/>
      </rPr>
      <t xml:space="preserve"> </t>
    </r>
    <r>
      <rPr>
        <sz val="9"/>
        <color theme="1"/>
        <rFont val="맑은 고딕"/>
        <family val="3"/>
        <charset val="129"/>
      </rPr>
      <t>재</t>
    </r>
    <r>
      <rPr>
        <sz val="9"/>
        <color theme="1"/>
        <rFont val="Calibri"/>
        <family val="2"/>
      </rPr>
      <t xml:space="preserve"> </t>
    </r>
    <r>
      <rPr>
        <sz val="9"/>
        <color theme="1"/>
        <rFont val="맑은 고딕"/>
        <family val="3"/>
        <charset val="129"/>
      </rPr>
      <t>구성할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</si>
  <si>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t>You can indent or outdent tasks only on the {} sheet.</t>
  </si>
  <si>
    <r>
      <t>{} Sheet</t>
    </r>
    <r>
      <rPr>
        <sz val="9"/>
        <color theme="1"/>
        <rFont val="맑은 고딕"/>
        <family val="3"/>
        <charset val="129"/>
      </rPr>
      <t>에서만</t>
    </r>
    <r>
      <rPr>
        <sz val="9"/>
        <color theme="1"/>
        <rFont val="Calibri"/>
        <family val="2"/>
      </rPr>
      <t xml:space="preserve"> </t>
    </r>
    <r>
      <rPr>
        <sz val="9"/>
        <color theme="1"/>
        <rFont val="맑은 고딕"/>
        <family val="3"/>
        <charset val="129"/>
      </rPr>
      <t>작업가능합니다</t>
    </r>
    <r>
      <rPr>
        <sz val="9"/>
        <color theme="1"/>
        <rFont val="Calibri"/>
        <family val="2"/>
      </rPr>
      <t>.</t>
    </r>
  </si>
  <si>
    <t>You can not add "Outlook Appointments" in the selected area.</t>
  </si>
  <si>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t>
    </r>
    <r>
      <rPr>
        <sz val="9"/>
        <color theme="1"/>
        <rFont val="맑은 고딕"/>
        <family val="3"/>
        <charset val="129"/>
      </rPr>
      <t>작업할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</si>
  <si>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t>You can not add "Outlook Tasks" in the selected area.</t>
  </si>
  <si>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Outlook</t>
    </r>
    <r>
      <rPr>
        <sz val="9"/>
        <color theme="1"/>
        <rFont val="맑은 고딕"/>
        <family val="3"/>
        <charset val="129"/>
      </rPr>
      <t>작업을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</si>
  <si>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t>You can not add a column between column A and C because the range is reserved by XLGantt.</t>
  </si>
  <si>
    <r>
      <t>A</t>
    </r>
    <r>
      <rPr>
        <sz val="9"/>
        <color theme="1"/>
        <rFont val="맑은 고딕"/>
        <family val="3"/>
        <charset val="129"/>
      </rPr>
      <t>열부터</t>
    </r>
    <r>
      <rPr>
        <sz val="9"/>
        <color theme="1"/>
        <rFont val="Calibri"/>
        <family val="2"/>
      </rPr>
      <t xml:space="preserve"> C</t>
    </r>
    <r>
      <rPr>
        <sz val="9"/>
        <color theme="1"/>
        <rFont val="맑은 고딕"/>
        <family val="3"/>
        <charset val="129"/>
      </rPr>
      <t>열까지는</t>
    </r>
    <r>
      <rPr>
        <sz val="9"/>
        <color theme="1"/>
        <rFont val="Calibri"/>
        <family val="2"/>
      </rPr>
      <t xml:space="preserve"> XLGantt</t>
    </r>
    <r>
      <rPr>
        <sz val="9"/>
        <color theme="1"/>
        <rFont val="맑은 고딕"/>
        <family val="3"/>
        <charset val="129"/>
      </rPr>
      <t>프로그램에서</t>
    </r>
    <r>
      <rPr>
        <sz val="9"/>
        <color theme="1"/>
        <rFont val="Calibri"/>
        <family val="2"/>
      </rPr>
      <t xml:space="preserve"> </t>
    </r>
    <r>
      <rPr>
        <sz val="9"/>
        <color theme="1"/>
        <rFont val="맑은 고딕"/>
        <family val="3"/>
        <charset val="129"/>
      </rPr>
      <t>사용하는</t>
    </r>
    <r>
      <rPr>
        <sz val="9"/>
        <color theme="1"/>
        <rFont val="Calibri"/>
        <family val="2"/>
      </rPr>
      <t xml:space="preserve"> </t>
    </r>
    <r>
      <rPr>
        <sz val="9"/>
        <color theme="1"/>
        <rFont val="맑은 고딕"/>
        <family val="3"/>
        <charset val="129"/>
      </rPr>
      <t>영역이므로</t>
    </r>
    <r>
      <rPr>
        <sz val="9"/>
        <color theme="1"/>
        <rFont val="Calibri"/>
        <family val="2"/>
      </rPr>
      <t xml:space="preserve"> </t>
    </r>
    <r>
      <rPr>
        <sz val="9"/>
        <color theme="1"/>
        <rFont val="맑은 고딕"/>
        <family val="3"/>
        <charset val="129"/>
      </rPr>
      <t>임의로</t>
    </r>
    <r>
      <rPr>
        <sz val="9"/>
        <color theme="1"/>
        <rFont val="Calibri"/>
        <family val="2"/>
      </rPr>
      <t xml:space="preserve"> </t>
    </r>
    <r>
      <rPr>
        <sz val="9"/>
        <color theme="1"/>
        <rFont val="맑은 고딕"/>
        <family val="3"/>
        <charset val="129"/>
      </rPr>
      <t>열을</t>
    </r>
    <r>
      <rPr>
        <sz val="9"/>
        <color theme="1"/>
        <rFont val="Calibri"/>
        <family val="2"/>
      </rPr>
      <t xml:space="preserve"> </t>
    </r>
    <r>
      <rPr>
        <sz val="9"/>
        <color theme="1"/>
        <rFont val="맑은 고딕"/>
        <family val="3"/>
        <charset val="129"/>
      </rPr>
      <t>추가할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</si>
  <si>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t>You can not edit a task in the selected area.</t>
  </si>
  <si>
    <t>You can not enter any more.</t>
  </si>
  <si>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입력불가</t>
    </r>
  </si>
  <si>
    <t>You can not indent any more!</t>
  </si>
  <si>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오른쪽으로</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</si>
  <si>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t>You can not indent or outdent the selected row.</t>
  </si>
  <si>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</si>
  <si>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t>You can not outdent any more!</t>
  </si>
  <si>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왼쪽으로</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</si>
  <si>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t>You can not use "Microsoft Outlook". \nMake sure you properly installed it.</t>
  </si>
  <si>
    <r>
      <t>Microsoft Outlook</t>
    </r>
    <r>
      <rPr>
        <sz val="9"/>
        <color theme="1"/>
        <rFont val="맑은 고딕"/>
        <family val="3"/>
        <charset val="129"/>
      </rPr>
      <t>을</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.\n</t>
    </r>
    <r>
      <rPr>
        <sz val="9"/>
        <color theme="1"/>
        <rFont val="맑은 고딕"/>
        <family val="3"/>
        <charset val="129"/>
      </rPr>
      <t>정상적으로</t>
    </r>
    <r>
      <rPr>
        <sz val="9"/>
        <color theme="1"/>
        <rFont val="Calibri"/>
        <family val="2"/>
      </rPr>
      <t xml:space="preserve"> </t>
    </r>
    <r>
      <rPr>
        <sz val="9"/>
        <color theme="1"/>
        <rFont val="맑은 고딕"/>
        <family val="3"/>
        <charset val="129"/>
      </rPr>
      <t>설치되어</t>
    </r>
    <r>
      <rPr>
        <sz val="9"/>
        <color theme="1"/>
        <rFont val="Calibri"/>
        <family val="2"/>
      </rPr>
      <t xml:space="preserve"> </t>
    </r>
    <r>
      <rPr>
        <sz val="9"/>
        <color theme="1"/>
        <rFont val="맑은 고딕"/>
        <family val="3"/>
        <charset val="129"/>
      </rPr>
      <t>있는지</t>
    </r>
    <r>
      <rPr>
        <sz val="9"/>
        <color theme="1"/>
        <rFont val="Calibri"/>
        <family val="2"/>
      </rPr>
      <t xml:space="preserve"> </t>
    </r>
    <r>
      <rPr>
        <sz val="9"/>
        <color theme="1"/>
        <rFont val="맑은 고딕"/>
        <family val="3"/>
        <charset val="129"/>
      </rPr>
      <t>확인하세요</t>
    </r>
    <r>
      <rPr>
        <sz val="9"/>
        <color theme="1"/>
        <rFont val="Calibri"/>
        <family val="2"/>
      </rPr>
      <t>.</t>
    </r>
  </si>
  <si>
    <t>You can open deliverables only on the {} Sheet.</t>
  </si>
  <si>
    <t>You can use %work complete to keep track of the progress of the project.</t>
    <phoneticPr fontId="11" type="noConversion"/>
  </si>
  <si>
    <r>
      <rPr>
        <sz val="9"/>
        <color theme="1"/>
        <rFont val="맑은 고딕"/>
        <family val="3"/>
        <charset val="129"/>
      </rPr>
      <t>진척율을</t>
    </r>
    <r>
      <rPr>
        <sz val="9"/>
        <color theme="1"/>
        <rFont val="Calibri"/>
        <family val="2"/>
      </rPr>
      <t xml:space="preserve"> </t>
    </r>
    <r>
      <rPr>
        <sz val="9"/>
        <color theme="1"/>
        <rFont val="맑은 고딕"/>
        <family val="3"/>
        <charset val="129"/>
      </rPr>
      <t>이용하여</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진행상황을</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</si>
  <si>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t>You can use only start and finish dates. So you can not manage schedule changes.</t>
  </si>
  <si>
    <r>
      <rPr>
        <sz val="9"/>
        <color theme="1"/>
        <rFont val="맑은 고딕"/>
        <family val="3"/>
        <charset val="129"/>
      </rPr>
      <t>일정을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완료일만</t>
    </r>
    <r>
      <rPr>
        <sz val="9"/>
        <color theme="1"/>
        <rFont val="Calibri"/>
        <family val="2"/>
      </rPr>
      <t xml:space="preserve"> </t>
    </r>
    <r>
      <rPr>
        <sz val="9"/>
        <color theme="1"/>
        <rFont val="맑은 고딕"/>
        <family val="3"/>
        <charset val="129"/>
      </rPr>
      <t>사용합니다</t>
    </r>
    <r>
      <rPr>
        <sz val="9"/>
        <color theme="1"/>
        <rFont val="Calibri"/>
        <family val="2"/>
      </rPr>
      <t xml:space="preserve">. </t>
    </r>
    <r>
      <rPr>
        <sz val="9"/>
        <color theme="1"/>
        <rFont val="맑은 고딕"/>
        <family val="3"/>
        <charset val="129"/>
      </rPr>
      <t>변경된</t>
    </r>
    <r>
      <rPr>
        <sz val="9"/>
        <color theme="1"/>
        <rFont val="Calibri"/>
        <family val="2"/>
      </rPr>
      <t xml:space="preserve"> </t>
    </r>
    <r>
      <rPr>
        <sz val="9"/>
        <color theme="1"/>
        <rFont val="맑은 고딕"/>
        <family val="3"/>
        <charset val="129"/>
      </rPr>
      <t>일정은</t>
    </r>
    <r>
      <rPr>
        <sz val="9"/>
        <color theme="1"/>
        <rFont val="Calibri"/>
        <family val="2"/>
      </rPr>
      <t xml:space="preserve"> </t>
    </r>
    <r>
      <rPr>
        <sz val="9"/>
        <color theme="1"/>
        <rFont val="맑은 고딕"/>
        <family val="3"/>
        <charset val="129"/>
      </rPr>
      <t>관리하지</t>
    </r>
    <r>
      <rPr>
        <sz val="9"/>
        <color theme="1"/>
        <rFont val="Calibri"/>
        <family val="2"/>
      </rPr>
      <t xml:space="preserve"> </t>
    </r>
    <r>
      <rPr>
        <sz val="9"/>
        <color theme="1"/>
        <rFont val="맑은 고딕"/>
        <family val="3"/>
        <charset val="129"/>
      </rPr>
      <t>않습니다</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변경되었을</t>
    </r>
    <r>
      <rPr>
        <sz val="9"/>
        <color theme="1"/>
        <rFont val="Calibri"/>
        <family val="2"/>
      </rPr>
      <t xml:space="preserve"> </t>
    </r>
    <r>
      <rPr>
        <sz val="9"/>
        <color theme="1"/>
        <rFont val="맑은 고딕"/>
        <family val="3"/>
        <charset val="129"/>
      </rPr>
      <t>때는</t>
    </r>
    <r>
      <rPr>
        <sz val="9"/>
        <color theme="1"/>
        <rFont val="Calibri"/>
        <family val="2"/>
      </rPr>
      <t xml:space="preserve"> </t>
    </r>
    <r>
      <rPr>
        <sz val="9"/>
        <color theme="1"/>
        <rFont val="맑은 고딕"/>
        <family val="3"/>
        <charset val="129"/>
      </rPr>
      <t>시작일과</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변경합니다</t>
    </r>
    <r>
      <rPr>
        <sz val="9"/>
        <color theme="1"/>
        <rFont val="Calibri"/>
        <family val="2"/>
      </rPr>
      <t xml:space="preserve">.  </t>
    </r>
  </si>
  <si>
    <t xml:space="preserve">You can use start and finish dates, actual start and finish dates. You can identify the schedule is delayed or aheaded by entering actual start and finish dates. </t>
  </si>
  <si>
    <r>
      <rPr>
        <sz val="9"/>
        <color theme="1"/>
        <rFont val="맑은 고딕"/>
        <family val="3"/>
        <charset val="129"/>
      </rPr>
      <t>일정을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t>
    </r>
    <r>
      <rPr>
        <sz val="9"/>
        <color theme="1"/>
        <rFont val="Calibri"/>
        <family val="2"/>
      </rPr>
      <t xml:space="preserve">, </t>
    </r>
    <r>
      <rPr>
        <sz val="9"/>
        <color theme="1"/>
        <rFont val="맑은 고딕"/>
        <family val="3"/>
        <charset val="129"/>
      </rPr>
      <t>실제시작일</t>
    </r>
    <r>
      <rPr>
        <sz val="9"/>
        <color theme="1"/>
        <rFont val="Calibri"/>
        <family val="2"/>
      </rPr>
      <t>/</t>
    </r>
    <r>
      <rPr>
        <sz val="9"/>
        <color theme="1"/>
        <rFont val="맑은 고딕"/>
        <family val="3"/>
        <charset val="129"/>
      </rPr>
      <t>실제완료일을</t>
    </r>
    <r>
      <rPr>
        <sz val="9"/>
        <color theme="1"/>
        <rFont val="Calibri"/>
        <family val="2"/>
      </rPr>
      <t xml:space="preserve"> </t>
    </r>
    <r>
      <rPr>
        <sz val="9"/>
        <color theme="1"/>
        <rFont val="맑은 고딕"/>
        <family val="3"/>
        <charset val="129"/>
      </rPr>
      <t>사용합니다</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시작된</t>
    </r>
    <r>
      <rPr>
        <sz val="9"/>
        <color theme="1"/>
        <rFont val="Calibri"/>
        <family val="2"/>
      </rPr>
      <t xml:space="preserve"> </t>
    </r>
    <r>
      <rPr>
        <sz val="9"/>
        <color theme="1"/>
        <rFont val="맑은 고딕"/>
        <family val="3"/>
        <charset val="129"/>
      </rPr>
      <t>날짜와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완료된</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입력하여</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지연되었거나</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것을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</si>
  <si>
    <t>You can't choose a field that is empty.</t>
  </si>
  <si>
    <r>
      <rPr>
        <sz val="9"/>
        <color theme="1"/>
        <rFont val="맑은 고딕"/>
        <family val="3"/>
        <charset val="129"/>
      </rPr>
      <t>필드명이</t>
    </r>
    <r>
      <rPr>
        <sz val="9"/>
        <color theme="1"/>
        <rFont val="Calibri"/>
        <family val="2"/>
      </rPr>
      <t xml:space="preserve"> </t>
    </r>
    <r>
      <rPr>
        <sz val="9"/>
        <color theme="1"/>
        <rFont val="맑은 고딕"/>
        <family val="3"/>
        <charset val="129"/>
      </rPr>
      <t>비어있는</t>
    </r>
    <r>
      <rPr>
        <sz val="9"/>
        <color theme="1"/>
        <rFont val="Calibri"/>
        <family val="2"/>
      </rPr>
      <t xml:space="preserve"> </t>
    </r>
    <r>
      <rPr>
        <sz val="9"/>
        <color theme="1"/>
        <rFont val="맑은 고딕"/>
        <family val="3"/>
        <charset val="129"/>
      </rPr>
      <t>항목은</t>
    </r>
    <r>
      <rPr>
        <sz val="9"/>
        <color theme="1"/>
        <rFont val="Calibri"/>
        <family val="2"/>
      </rPr>
      <t xml:space="preserve"> </t>
    </r>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</si>
  <si>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t>You can't import an Excel Macro file. Please import after saving it as an xls or xlsx file. If it is an XLGantt file, you can import it at the menu "Import files created in XLGantt"</t>
  </si>
  <si>
    <r>
      <rPr>
        <sz val="9"/>
        <color theme="1"/>
        <rFont val="맑은 고딕"/>
        <family val="3"/>
        <charset val="129"/>
      </rPr>
      <t>엑셀매크로</t>
    </r>
    <r>
      <rPr>
        <sz val="9"/>
        <color theme="1"/>
        <rFont val="Calibri"/>
        <family val="2"/>
      </rPr>
      <t xml:space="preserve"> </t>
    </r>
    <r>
      <rPr>
        <sz val="9"/>
        <color theme="1"/>
        <rFont val="맑은 고딕"/>
        <family val="3"/>
        <charset val="129"/>
      </rPr>
      <t>파일은</t>
    </r>
    <r>
      <rPr>
        <sz val="9"/>
        <color theme="1"/>
        <rFont val="Calibri"/>
        <family val="2"/>
      </rPr>
      <t xml:space="preserve"> </t>
    </r>
    <r>
      <rPr>
        <sz val="9"/>
        <color theme="1"/>
        <rFont val="맑은 고딕"/>
        <family val="3"/>
        <charset val="129"/>
      </rPr>
      <t>가져오기를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 xml:space="preserve">. xls </t>
    </r>
    <r>
      <rPr>
        <sz val="9"/>
        <color theme="1"/>
        <rFont val="맑은 고딕"/>
        <family val="3"/>
        <charset val="129"/>
      </rPr>
      <t>또는</t>
    </r>
    <r>
      <rPr>
        <sz val="9"/>
        <color theme="1"/>
        <rFont val="Calibri"/>
        <family val="2"/>
      </rPr>
      <t xml:space="preserve"> xlsx</t>
    </r>
    <r>
      <rPr>
        <sz val="9"/>
        <color theme="1"/>
        <rFont val="맑은 고딕"/>
        <family val="3"/>
        <charset val="129"/>
      </rPr>
      <t>파일로</t>
    </r>
    <r>
      <rPr>
        <sz val="9"/>
        <color theme="1"/>
        <rFont val="Calibri"/>
        <family val="2"/>
      </rPr>
      <t xml:space="preserve"> </t>
    </r>
    <r>
      <rPr>
        <sz val="9"/>
        <color theme="1"/>
        <rFont val="맑은 고딕"/>
        <family val="3"/>
        <charset val="129"/>
      </rPr>
      <t>저장하여</t>
    </r>
    <r>
      <rPr>
        <sz val="9"/>
        <color theme="1"/>
        <rFont val="Calibri"/>
        <family val="2"/>
      </rPr>
      <t xml:space="preserve"> </t>
    </r>
    <r>
      <rPr>
        <sz val="9"/>
        <color theme="1"/>
        <rFont val="맑은 고딕"/>
        <family val="3"/>
        <charset val="129"/>
      </rPr>
      <t>작업하시기</t>
    </r>
    <r>
      <rPr>
        <sz val="9"/>
        <color theme="1"/>
        <rFont val="Calibri"/>
        <family val="2"/>
      </rPr>
      <t xml:space="preserve"> </t>
    </r>
    <r>
      <rPr>
        <sz val="9"/>
        <color theme="1"/>
        <rFont val="맑은 고딕"/>
        <family val="3"/>
        <charset val="129"/>
      </rPr>
      <t>바랍니다</t>
    </r>
    <r>
      <rPr>
        <sz val="9"/>
        <color theme="1"/>
        <rFont val="Calibri"/>
        <family val="2"/>
      </rPr>
      <t xml:space="preserve">. </t>
    </r>
    <r>
      <rPr>
        <sz val="9"/>
        <color theme="1"/>
        <rFont val="맑은 고딕"/>
        <family val="3"/>
        <charset val="129"/>
      </rPr>
      <t>만약</t>
    </r>
    <r>
      <rPr>
        <sz val="9"/>
        <color theme="1"/>
        <rFont val="Calibri"/>
        <family val="2"/>
      </rPr>
      <t xml:space="preserve"> XLGantt</t>
    </r>
    <r>
      <rPr>
        <sz val="9"/>
        <color theme="1"/>
        <rFont val="맑은 고딕"/>
        <family val="3"/>
        <charset val="129"/>
      </rPr>
      <t>파일인</t>
    </r>
    <r>
      <rPr>
        <sz val="9"/>
        <color theme="1"/>
        <rFont val="Calibri"/>
        <family val="2"/>
      </rPr>
      <t xml:space="preserve"> </t>
    </r>
    <r>
      <rPr>
        <sz val="9"/>
        <color theme="1"/>
        <rFont val="맑은 고딕"/>
        <family val="3"/>
        <charset val="129"/>
      </rPr>
      <t>경우에는</t>
    </r>
    <r>
      <rPr>
        <sz val="9"/>
        <color theme="1"/>
        <rFont val="Calibri"/>
        <family val="2"/>
      </rPr>
      <t xml:space="preserve"> "XLGantt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가져오기</t>
    </r>
    <r>
      <rPr>
        <sz val="9"/>
        <color theme="1"/>
        <rFont val="Calibri"/>
        <family val="2"/>
      </rPr>
      <t>"</t>
    </r>
    <r>
      <rPr>
        <sz val="9"/>
        <color theme="1"/>
        <rFont val="맑은 고딕"/>
        <family val="3"/>
        <charset val="129"/>
      </rPr>
      <t>에서</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가능합니다</t>
    </r>
  </si>
  <si>
    <t>You can't remove the default languages(English and Korean).</t>
  </si>
  <si>
    <r>
      <rPr>
        <sz val="9"/>
        <color theme="1"/>
        <rFont val="맑은 고딕"/>
        <family val="3"/>
        <charset val="129"/>
      </rPr>
      <t>기본언어인</t>
    </r>
    <r>
      <rPr>
        <sz val="9"/>
        <color theme="1"/>
        <rFont val="Calibri"/>
        <family val="2"/>
      </rPr>
      <t xml:space="preserve"> English</t>
    </r>
    <r>
      <rPr>
        <sz val="9"/>
        <color theme="1"/>
        <rFont val="맑은 고딕"/>
        <family val="3"/>
        <charset val="129"/>
      </rPr>
      <t>와</t>
    </r>
    <r>
      <rPr>
        <sz val="9"/>
        <color theme="1"/>
        <rFont val="Calibri"/>
        <family val="2"/>
      </rPr>
      <t xml:space="preserve"> Korean</t>
    </r>
    <r>
      <rPr>
        <sz val="9"/>
        <color theme="1"/>
        <rFont val="맑은 고딕"/>
        <family val="3"/>
        <charset val="129"/>
      </rPr>
      <t>은</t>
    </r>
    <r>
      <rPr>
        <sz val="9"/>
        <color theme="1"/>
        <rFont val="Calibri"/>
        <family val="2"/>
      </rPr>
      <t xml:space="preserve"> </t>
    </r>
    <r>
      <rPr>
        <sz val="9"/>
        <color theme="1"/>
        <rFont val="맑은 고딕"/>
        <family val="3"/>
        <charset val="129"/>
      </rPr>
      <t>삭제할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</si>
  <si>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t>You didn't choose a language.</t>
  </si>
  <si>
    <r>
      <rPr>
        <sz val="9"/>
        <color theme="1"/>
        <rFont val="맑은 고딕"/>
        <family val="3"/>
        <charset val="129"/>
      </rPr>
      <t>언어가</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</si>
  <si>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t>You didn't choose a source field.</t>
  </si>
  <si>
    <r>
      <t>Source</t>
    </r>
    <r>
      <rPr>
        <sz val="9"/>
        <color theme="1"/>
        <rFont val="맑은 고딕"/>
        <family val="3"/>
        <charset val="129"/>
      </rPr>
      <t>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</si>
  <si>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t>You didn't choose a target field.</t>
  </si>
  <si>
    <r>
      <t>Target</t>
    </r>
    <r>
      <rPr>
        <sz val="9"/>
        <color theme="1"/>
        <rFont val="맑은 고딕"/>
        <family val="3"/>
        <charset val="129"/>
      </rPr>
      <t>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</si>
  <si>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t>You didn't choose an unmap item.</t>
  </si>
  <si>
    <r>
      <t>Mapping</t>
    </r>
    <r>
      <rPr>
        <sz val="9"/>
        <color theme="1"/>
        <rFont val="맑은 고딕"/>
        <family val="3"/>
        <charset val="129"/>
      </rPr>
      <t>취소항목이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</si>
  <si>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t>You selected {} areas. Please select only one area.</t>
  </si>
  <si>
    <r>
      <rPr>
        <sz val="9"/>
        <color theme="1"/>
        <rFont val="맑은 고딕"/>
        <family val="3"/>
        <charset val="129"/>
      </rPr>
      <t>한곳만</t>
    </r>
    <r>
      <rPr>
        <sz val="9"/>
        <color theme="1"/>
        <rFont val="Calibri"/>
        <family val="2"/>
      </rPr>
      <t xml:space="preserve"> </t>
    </r>
    <r>
      <rPr>
        <sz val="9"/>
        <color theme="1"/>
        <rFont val="맑은 고딕"/>
        <family val="3"/>
        <charset val="129"/>
      </rPr>
      <t>선택하세요</t>
    </r>
    <r>
      <rPr>
        <sz val="9"/>
        <color theme="1"/>
        <rFont val="Calibri"/>
        <family val="2"/>
      </rPr>
      <t xml:space="preserve">. </t>
    </r>
    <r>
      <rPr>
        <sz val="9"/>
        <color theme="1"/>
        <rFont val="맑은 고딕"/>
        <family val="3"/>
        <charset val="129"/>
      </rPr>
      <t>현재</t>
    </r>
    <r>
      <rPr>
        <sz val="9"/>
        <color theme="1"/>
        <rFont val="Calibri"/>
        <family val="2"/>
      </rPr>
      <t xml:space="preserve"> {}</t>
    </r>
    <r>
      <rPr>
        <sz val="9"/>
        <color theme="1"/>
        <rFont val="맑은 고딕"/>
        <family val="3"/>
        <charset val="129"/>
      </rPr>
      <t>곳이</t>
    </r>
    <r>
      <rPr>
        <sz val="9"/>
        <color theme="1"/>
        <rFont val="Calibri"/>
        <family val="2"/>
      </rPr>
      <t xml:space="preserve"> </t>
    </r>
    <r>
      <rPr>
        <sz val="9"/>
        <color theme="1"/>
        <rFont val="맑은 고딕"/>
        <family val="3"/>
        <charset val="129"/>
      </rPr>
      <t>선택되었습니다</t>
    </r>
    <r>
      <rPr>
        <sz val="9"/>
        <color theme="1"/>
        <rFont val="Calibri"/>
        <family val="2"/>
      </rPr>
      <t>.</t>
    </r>
  </si>
  <si>
    <t>Date</t>
    <phoneticPr fontId="11" type="noConversion"/>
  </si>
  <si>
    <r>
      <rPr>
        <sz val="9"/>
        <color theme="1"/>
        <rFont val="맑은 고딕"/>
        <family val="3"/>
        <charset val="129"/>
      </rPr>
      <t>날짜</t>
    </r>
    <phoneticPr fontId="11" type="noConversion"/>
  </si>
  <si>
    <t>Day</t>
    <phoneticPr fontId="11" type="noConversion"/>
  </si>
  <si>
    <r>
      <rPr>
        <sz val="9"/>
        <color theme="1"/>
        <rFont val="맑은 고딕"/>
        <family val="3"/>
        <charset val="129"/>
      </rPr>
      <t>요일</t>
    </r>
    <phoneticPr fontId="11" type="noConversion"/>
  </si>
  <si>
    <t>Display date or day on the timescale</t>
    <phoneticPr fontId="1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</si>
  <si>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날짜</t>
    </r>
    <r>
      <rPr>
        <sz val="9"/>
        <color theme="1"/>
        <rFont val="Calibri"/>
        <family val="2"/>
      </rPr>
      <t>/</t>
    </r>
    <r>
      <rPr>
        <sz val="9"/>
        <color theme="1"/>
        <rFont val="맑은 고딕"/>
        <family val="3"/>
        <charset val="129"/>
      </rPr>
      <t>요일</t>
    </r>
    <r>
      <rPr>
        <sz val="9"/>
        <color theme="1"/>
        <rFont val="Calibri"/>
        <family val="2"/>
      </rPr>
      <t xml:space="preserve"> </t>
    </r>
    <r>
      <rPr>
        <sz val="9"/>
        <color theme="1"/>
        <rFont val="맑은 고딕"/>
        <family val="3"/>
        <charset val="129"/>
      </rPr>
      <t>표시방법</t>
    </r>
    <phoneticPr fontId="11" type="noConversion"/>
  </si>
  <si>
    <t>Align WBS Column</t>
    <phoneticPr fontId="11" type="noConversion"/>
  </si>
  <si>
    <r>
      <t>WBS</t>
    </r>
    <r>
      <rPr>
        <sz val="9"/>
        <color theme="1"/>
        <rFont val="맑은 고딕"/>
        <family val="3"/>
        <charset val="129"/>
      </rPr>
      <t>열</t>
    </r>
    <r>
      <rPr>
        <sz val="9"/>
        <color theme="1"/>
        <rFont val="Calibri"/>
        <family val="2"/>
      </rPr>
      <t xml:space="preserve"> </t>
    </r>
    <r>
      <rPr>
        <sz val="9"/>
        <color theme="1"/>
        <rFont val="맑은 고딕"/>
        <family val="3"/>
        <charset val="129"/>
      </rPr>
      <t>정렬</t>
    </r>
    <phoneticPr fontId="11" type="noConversion"/>
  </si>
  <si>
    <t>Left</t>
    <phoneticPr fontId="11" type="noConversion"/>
  </si>
  <si>
    <r>
      <rPr>
        <sz val="9"/>
        <color theme="1"/>
        <rFont val="맑은 고딕"/>
        <family val="3"/>
        <charset val="129"/>
      </rPr>
      <t>왼쪽</t>
    </r>
    <phoneticPr fontId="11" type="noConversion"/>
  </si>
  <si>
    <t>Center</t>
    <phoneticPr fontId="11" type="noConversion"/>
  </si>
  <si>
    <r>
      <rPr>
        <sz val="9"/>
        <color theme="1"/>
        <rFont val="맑은 고딕"/>
        <family val="3"/>
        <charset val="129"/>
      </rPr>
      <t>가운데</t>
    </r>
    <phoneticPr fontId="11" type="noConversion"/>
  </si>
  <si>
    <t>Right</t>
    <phoneticPr fontId="11" type="noConversion"/>
  </si>
  <si>
    <r>
      <rPr>
        <sz val="9"/>
        <color theme="1"/>
        <rFont val="맑은 고딕"/>
        <family val="3"/>
        <charset val="129"/>
      </rPr>
      <t>오른쪽</t>
    </r>
    <phoneticPr fontId="11" type="noConversion"/>
  </si>
  <si>
    <t>The same field name exists.</t>
    <phoneticPr fontId="11" type="noConversion"/>
  </si>
  <si>
    <r>
      <rPr>
        <sz val="9"/>
        <color theme="1"/>
        <rFont val="맑은 고딕"/>
        <family val="3"/>
        <charset val="129"/>
      </rPr>
      <t>동일한</t>
    </r>
    <r>
      <rPr>
        <sz val="9"/>
        <color theme="1"/>
        <rFont val="Calibri"/>
        <family val="2"/>
      </rPr>
      <t xml:space="preserve"> </t>
    </r>
    <r>
      <rPr>
        <sz val="9"/>
        <color theme="1"/>
        <rFont val="맑은 고딕"/>
        <family val="3"/>
        <charset val="129"/>
      </rPr>
      <t>필드명이</t>
    </r>
    <r>
      <rPr>
        <sz val="9"/>
        <color theme="1"/>
        <rFont val="Calibri"/>
        <family val="2"/>
      </rPr>
      <t xml:space="preserve"> </t>
    </r>
    <r>
      <rPr>
        <sz val="9"/>
        <color theme="1"/>
        <rFont val="맑은 고딕"/>
        <family val="3"/>
        <charset val="129"/>
      </rPr>
      <t>존재합니다</t>
    </r>
    <r>
      <rPr>
        <sz val="9"/>
        <color theme="1"/>
        <rFont val="Calibri"/>
        <family val="2"/>
      </rPr>
      <t>.</t>
    </r>
    <phoneticPr fontId="11" type="noConversion"/>
  </si>
  <si>
    <t>Select Formula Cells</t>
    <phoneticPr fontId="11" type="noConversion"/>
  </si>
  <si>
    <r>
      <rPr>
        <sz val="9"/>
        <color theme="1"/>
        <rFont val="맑은 고딕"/>
        <family val="3"/>
        <charset val="129"/>
      </rPr>
      <t>수식셀</t>
    </r>
    <r>
      <rPr>
        <sz val="9"/>
        <color theme="1"/>
        <rFont val="Calibri"/>
        <family val="2"/>
      </rPr>
      <t xml:space="preserve"> </t>
    </r>
    <r>
      <rPr>
        <sz val="9"/>
        <color theme="1"/>
        <rFont val="맑은 고딕"/>
        <family val="3"/>
        <charset val="129"/>
      </rPr>
      <t>선택</t>
    </r>
    <phoneticPr fontId="11" type="noConversion"/>
  </si>
  <si>
    <t>Average number of working days per month</t>
    <phoneticPr fontId="11" type="noConversion"/>
  </si>
  <si>
    <r>
      <rPr>
        <sz val="9"/>
        <color theme="1"/>
        <rFont val="맑은 고딕"/>
        <family val="3"/>
        <charset val="129"/>
      </rPr>
      <t>월</t>
    </r>
    <r>
      <rPr>
        <sz val="9"/>
        <color theme="1"/>
        <rFont val="Calibri"/>
        <family val="2"/>
      </rPr>
      <t xml:space="preserve"> </t>
    </r>
    <r>
      <rPr>
        <sz val="9"/>
        <color theme="1"/>
        <rFont val="맑은 고딕"/>
        <family val="3"/>
        <charset val="129"/>
      </rPr>
      <t>평균</t>
    </r>
    <r>
      <rPr>
        <sz val="9"/>
        <color theme="1"/>
        <rFont val="Calibri"/>
        <family val="2"/>
      </rPr>
      <t xml:space="preserve"> </t>
    </r>
    <r>
      <rPr>
        <sz val="9"/>
        <color theme="1"/>
        <rFont val="맑은 고딕"/>
        <family val="3"/>
        <charset val="129"/>
      </rPr>
      <t>근무일수</t>
    </r>
    <phoneticPr fontId="11" type="noConversion"/>
  </si>
  <si>
    <t>Free space in the print area</t>
    <phoneticPr fontId="11" type="noConversion"/>
  </si>
  <si>
    <r>
      <rPr>
        <sz val="9"/>
        <color theme="1"/>
        <rFont val="맑은 고딕"/>
        <family val="3"/>
        <charset val="129"/>
      </rPr>
      <t>프린트</t>
    </r>
    <r>
      <rPr>
        <sz val="9"/>
        <color theme="1"/>
        <rFont val="Calibri"/>
        <family val="2"/>
      </rPr>
      <t xml:space="preserve"> </t>
    </r>
    <r>
      <rPr>
        <sz val="9"/>
        <color theme="1"/>
        <rFont val="맑은 고딕"/>
        <family val="3"/>
        <charset val="129"/>
      </rPr>
      <t>영역</t>
    </r>
    <r>
      <rPr>
        <sz val="9"/>
        <color theme="1"/>
        <rFont val="Calibri"/>
        <family val="2"/>
      </rPr>
      <t xml:space="preserve"> </t>
    </r>
    <r>
      <rPr>
        <sz val="9"/>
        <color theme="1"/>
        <rFont val="맑은 고딕"/>
        <family val="3"/>
        <charset val="129"/>
      </rPr>
      <t>여유</t>
    </r>
    <r>
      <rPr>
        <sz val="9"/>
        <color theme="1"/>
        <rFont val="Calibri"/>
        <family val="2"/>
      </rPr>
      <t xml:space="preserve"> </t>
    </r>
    <r>
      <rPr>
        <sz val="9"/>
        <color theme="1"/>
        <rFont val="맑은 고딕"/>
        <family val="3"/>
        <charset val="129"/>
      </rPr>
      <t>공간</t>
    </r>
    <phoneticPr fontId="11" type="noConversion"/>
  </si>
  <si>
    <t>Automatically adjust height of Schedule sheet rows 1-4</t>
    <phoneticPr fontId="11" type="noConversion"/>
  </si>
  <si>
    <r>
      <t xml:space="preserve">Schedule </t>
    </r>
    <r>
      <rPr>
        <sz val="9"/>
        <color theme="1"/>
        <rFont val="맑은 고딕"/>
        <family val="3"/>
        <charset val="129"/>
      </rPr>
      <t>시트</t>
    </r>
    <r>
      <rPr>
        <sz val="9"/>
        <color theme="1"/>
        <rFont val="Calibri"/>
        <family val="2"/>
      </rPr>
      <t xml:space="preserve"> 1-4</t>
    </r>
    <r>
      <rPr>
        <sz val="9"/>
        <color theme="1"/>
        <rFont val="맑은 고딕"/>
        <family val="3"/>
        <charset val="129"/>
      </rPr>
      <t>행의</t>
    </r>
    <r>
      <rPr>
        <sz val="9"/>
        <color theme="1"/>
        <rFont val="Calibri"/>
        <family val="2"/>
      </rPr>
      <t xml:space="preserve"> </t>
    </r>
    <r>
      <rPr>
        <sz val="9"/>
        <color theme="1"/>
        <rFont val="맑은 고딕"/>
        <family val="3"/>
        <charset val="129"/>
      </rPr>
      <t>높이를</t>
    </r>
    <r>
      <rPr>
        <sz val="9"/>
        <color theme="1"/>
        <rFont val="Calibri"/>
        <family val="2"/>
      </rPr>
      <t xml:space="preserve"> </t>
    </r>
    <r>
      <rPr>
        <sz val="9"/>
        <color theme="1"/>
        <rFont val="맑은 고딕"/>
        <family val="3"/>
        <charset val="129"/>
      </rPr>
      <t>자동으로</t>
    </r>
    <r>
      <rPr>
        <sz val="9"/>
        <color theme="1"/>
        <rFont val="Calibri"/>
        <family val="2"/>
      </rPr>
      <t xml:space="preserve"> </t>
    </r>
    <r>
      <rPr>
        <sz val="9"/>
        <color theme="1"/>
        <rFont val="맑은 고딕"/>
        <family val="3"/>
        <charset val="129"/>
      </rPr>
      <t>조정</t>
    </r>
  </si>
  <si>
    <t>Program error has occurred.</t>
    <phoneticPr fontId="11" type="noConversion"/>
  </si>
  <si>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t>
    </r>
    <phoneticPr fontId="11" type="noConversion"/>
  </si>
  <si>
    <t>Setting WBS Area and Color Theme</t>
  </si>
  <si>
    <r>
      <t>WBS</t>
    </r>
    <r>
      <rPr>
        <sz val="9"/>
        <color theme="1"/>
        <rFont val="맑은 고딕"/>
        <family val="2"/>
        <charset val="129"/>
      </rPr>
      <t>영역</t>
    </r>
    <r>
      <rPr>
        <sz val="9"/>
        <color theme="1"/>
        <rFont val="Calibri"/>
        <family val="2"/>
      </rPr>
      <t xml:space="preserve">, </t>
    </r>
    <r>
      <rPr>
        <sz val="9"/>
        <color theme="1"/>
        <rFont val="맑은 고딕"/>
        <family val="2"/>
        <charset val="129"/>
      </rPr>
      <t>컬러테마</t>
    </r>
    <r>
      <rPr>
        <sz val="9"/>
        <color theme="1"/>
        <rFont val="Calibri"/>
        <family val="2"/>
      </rPr>
      <t xml:space="preserve"> </t>
    </r>
    <r>
      <rPr>
        <sz val="9"/>
        <color theme="1"/>
        <rFont val="맑은 고딕"/>
        <family val="2"/>
        <charset val="129"/>
      </rPr>
      <t>설정</t>
    </r>
    <phoneticPr fontId="11" type="noConversion"/>
  </si>
  <si>
    <t>You can select the workload calculation method.</t>
    <phoneticPr fontId="11" type="noConversion"/>
  </si>
  <si>
    <t>You can set the appearance and color of the XLGantt.</t>
    <phoneticPr fontId="11" type="noConversion"/>
  </si>
  <si>
    <t>Setting Task Dependencies</t>
    <phoneticPr fontId="11" type="noConversion"/>
  </si>
  <si>
    <t>You can set the Task Dependencies(FS,SS,FF,SF).</t>
    <phoneticPr fontId="11" type="noConversion"/>
  </si>
  <si>
    <t>https://xlworks.io/xlgantt-howto-16-task-dependencies/</t>
    <phoneticPr fontId="11" type="noConversion"/>
  </si>
  <si>
    <t>https://xlworks.net/xlgantt-howto-16-task-dependencies/</t>
    <phoneticPr fontId="11" type="noConversion"/>
  </si>
  <si>
    <t>wbsLevel</t>
  </si>
  <si>
    <t>wbs</t>
  </si>
  <si>
    <t>wbsLevel01</t>
  </si>
  <si>
    <t>wbsLevel02</t>
  </si>
  <si>
    <t>wbsLevel03</t>
  </si>
  <si>
    <t>wbsLevel04</t>
  </si>
  <si>
    <t>wbsLevel05</t>
  </si>
  <si>
    <t>wbsLevel06</t>
  </si>
  <si>
    <t>wbsLevel07</t>
  </si>
  <si>
    <t>wbsLevel08</t>
  </si>
  <si>
    <t>wbsLevel09</t>
  </si>
  <si>
    <t>wbsLevel10</t>
  </si>
  <si>
    <t>task</t>
  </si>
  <si>
    <t>resource</t>
  </si>
  <si>
    <t>start</t>
  </si>
  <si>
    <t>finish</t>
  </si>
  <si>
    <t>timebucketStart</t>
  </si>
  <si>
    <t>timebucketFinish</t>
  </si>
  <si>
    <t>weekNumber</t>
  </si>
  <si>
    <t>projectWeekNumber</t>
  </si>
  <si>
    <t>totalWorkload</t>
  </si>
  <si>
    <t>planWorkload</t>
  </si>
  <si>
    <t>resourceWeight</t>
  </si>
  <si>
    <t>resourceAssignRate</t>
  </si>
  <si>
    <t>planRate</t>
  </si>
  <si>
    <t>actualRate</t>
  </si>
  <si>
    <t>actualStart</t>
  </si>
  <si>
    <t>actualFinish</t>
  </si>
  <si>
    <t>earnedValue</t>
  </si>
  <si>
    <t>actualWorkload</t>
  </si>
  <si>
    <t>1.2.1</t>
  </si>
  <si>
    <t>1.2</t>
  </si>
  <si>
    <t>1.2.2</t>
  </si>
  <si>
    <t>1.3.1</t>
  </si>
  <si>
    <t>1.3</t>
  </si>
  <si>
    <t>1.3.2</t>
  </si>
  <si>
    <t>2.3.1</t>
  </si>
  <si>
    <t>2.3</t>
  </si>
  <si>
    <t>2.3.2</t>
  </si>
  <si>
    <t>박수진</t>
  </si>
  <si>
    <t>ITEM_GROUP</t>
    <phoneticPr fontId="11" type="noConversion"/>
  </si>
  <si>
    <t>ITEM</t>
  </si>
  <si>
    <t>VALUE1</t>
  </si>
  <si>
    <t>VALUE2</t>
  </si>
  <si>
    <t>VALUE3</t>
  </si>
  <si>
    <t>INSERTED_DATE</t>
    <phoneticPr fontId="13" type="noConversion"/>
  </si>
  <si>
    <t>UPDATED_DATE</t>
    <phoneticPr fontId="13" type="noConversion"/>
  </si>
  <si>
    <t>DESCRIPTION</t>
    <phoneticPr fontId="13" type="noConversion"/>
  </si>
  <si>
    <t>CM</t>
  </si>
  <si>
    <t>COMPANY</t>
    <phoneticPr fontId="13" type="noConversion"/>
  </si>
  <si>
    <t>XLWorks</t>
    <phoneticPr fontId="13" type="noConversion"/>
  </si>
  <si>
    <t>DO NOT UPDATE</t>
    <phoneticPr fontId="13" type="noConversion"/>
  </si>
  <si>
    <t>AUTHOR_NAME</t>
    <phoneticPr fontId="13" type="noConversion"/>
  </si>
  <si>
    <t>AUTHOR_EMAIL</t>
    <phoneticPr fontId="13" type="noConversion"/>
  </si>
  <si>
    <t>admin@xlworks.net</t>
    <phoneticPr fontId="13" type="noConversion"/>
  </si>
  <si>
    <t>PROGRAM_NAME</t>
    <phoneticPr fontId="13" type="noConversion"/>
  </si>
  <si>
    <t>XLGantt</t>
  </si>
  <si>
    <t>PROGRAM_SITE</t>
    <phoneticPr fontId="13" type="noConversion"/>
  </si>
  <si>
    <t>https://xlworks.io/xlgantt-project-scheduler/</t>
    <phoneticPr fontId="13" type="noConversion"/>
  </si>
  <si>
    <t>PROGRAM_SITE_DISP</t>
    <phoneticPr fontId="13" type="noConversion"/>
  </si>
  <si>
    <t>VERSION</t>
    <phoneticPr fontId="13" type="noConversion"/>
  </si>
  <si>
    <t>5.0.0</t>
    <phoneticPr fontId="11" type="noConversion"/>
  </si>
  <si>
    <t>{"TASK_FIRST_COL":"5","START_ROW":"5","WBS_AREA_LAST_COL":"31"}</t>
    <phoneticPr fontId="11" type="noConversion"/>
  </si>
  <si>
    <t>DO NOT UPDATE, DO NOT MOVE ROW 8 TO ANOTHER ROW</t>
    <phoneticPr fontId="13" type="noConversion"/>
  </si>
  <si>
    <t>RELEASE_DATE</t>
    <phoneticPr fontId="13" type="noConversion"/>
  </si>
  <si>
    <t>LICENSE</t>
    <phoneticPr fontId="13" type="noConversion"/>
  </si>
  <si>
    <t>Freeware</t>
    <phoneticPr fontId="13" type="noConversion"/>
  </si>
  <si>
    <t>OG</t>
    <phoneticPr fontId="11" type="noConversion"/>
  </si>
  <si>
    <t>chkAutoAdjustHeightRow1_4</t>
  </si>
  <si>
    <t>chkAutoAdjustHeightRow1_5</t>
  </si>
  <si>
    <t>chkCheckForUpdatesOnStartup</t>
  </si>
  <si>
    <t>chkImportDataOnStartup</t>
  </si>
  <si>
    <t>chkWBSUpdateExecuteYN</t>
  </si>
  <si>
    <t>isConfirmedProjectBasicInfo</t>
  </si>
  <si>
    <t>optFirstDayOfWeek</t>
  </si>
  <si>
    <t>optNonWorkingDays</t>
  </si>
  <si>
    <t>optPlanRateCriteriaDate</t>
  </si>
  <si>
    <t>optRecalcWBSArea</t>
  </si>
  <si>
    <t>optScheduleChangeMgt</t>
  </si>
  <si>
    <t>optWeekNum</t>
  </si>
  <si>
    <t>optWorkloadCalcByResourceAssignRate</t>
  </si>
  <si>
    <t>projectEndDate</t>
  </si>
  <si>
    <t>projectName</t>
  </si>
  <si>
    <t>[ALP고도화]</t>
    <phoneticPr fontId="11" type="noConversion"/>
  </si>
  <si>
    <t>projectStartDate</t>
  </si>
  <si>
    <t>scheduleSheetPosition</t>
  </si>
  <si>
    <t>SCHEDULE_SHEET_POSITION:3545151617181920212223242526272829303132</t>
    <phoneticPr fontId="11" type="noConversion"/>
  </si>
  <si>
    <t>setTaskDateToProjectDate</t>
  </si>
  <si>
    <t>txtAvgWorkingdays</t>
  </si>
  <si>
    <t>txtPrintSpace</t>
  </si>
  <si>
    <t>OG</t>
  </si>
  <si>
    <t>XLGanttFileCalcMode</t>
  </si>
  <si>
    <t>OW</t>
    <phoneticPr fontId="11" type="noConversion"/>
  </si>
  <si>
    <t>actualRateDisp</t>
  </si>
  <si>
    <t>applyUserInputFirst</t>
  </si>
  <si>
    <t>cbxColorTheme</t>
  </si>
  <si>
    <t>chkProjectWeekNumDispOverTimescale</t>
  </si>
  <si>
    <t>chkYearDispOverTimescale</t>
  </si>
  <si>
    <t>completeTaskGrayDisplay</t>
  </si>
  <si>
    <t>dateDisp</t>
  </si>
  <si>
    <t>dateDispOnTimescale</t>
  </si>
  <si>
    <t>ganttColWidth</t>
  </si>
  <si>
    <t>groupRows</t>
  </si>
  <si>
    <t>groupTaskInteriorGrayDisplay</t>
  </si>
  <si>
    <t>optAlignWBSColumn</t>
  </si>
  <si>
    <t>optGanttChartColumnDisplay</t>
  </si>
  <si>
    <t>plannedRateDisp</t>
  </si>
  <si>
    <t>resourceDisp</t>
  </si>
  <si>
    <t>taskDisp</t>
  </si>
  <si>
    <t>taskDispInGroup</t>
  </si>
  <si>
    <t>taskDispInSub</t>
  </si>
  <si>
    <t>taskNameDisplayPosition</t>
  </si>
  <si>
    <t>themeColorList</t>
  </si>
  <si>
    <t>10066176;10066176;26367;8421504;26367;8421504;16764108;16737792;65280;16737792;13311;65280;14540253;255</t>
  </si>
  <si>
    <t>txtGanttChartZoomRatio</t>
  </si>
  <si>
    <t>txtNumberOfTaskColumn</t>
  </si>
  <si>
    <t>OD</t>
    <phoneticPr fontId="11" type="noConversion"/>
  </si>
  <si>
    <t>chkDeliverablesMgt</t>
  </si>
  <si>
    <t>savePathType</t>
  </si>
  <si>
    <t>DEFINED</t>
    <phoneticPr fontId="11" type="noConversion"/>
  </si>
  <si>
    <t>txtAutoDefinedBasePath</t>
  </si>
  <si>
    <t>C:\Temp</t>
    <phoneticPr fontId="11" type="noConversion"/>
  </si>
  <si>
    <t>txtDefinedPath</t>
  </si>
  <si>
    <t>OL</t>
    <phoneticPr fontId="11" type="noConversion"/>
  </si>
  <si>
    <t>languageSelectedByManual</t>
  </si>
  <si>
    <t>languageSelectionType</t>
  </si>
  <si>
    <t>lastTranslatedLanguage</t>
  </si>
  <si>
    <t>selectedLanguageList</t>
  </si>
  <si>
    <t>1:English,82:Korean,999:Custom</t>
    <phoneticPr fontId="11" type="noConversion"/>
  </si>
  <si>
    <t>OP</t>
    <phoneticPr fontId="11" type="noConversion"/>
  </si>
  <si>
    <t>chkInclude2SelectList1</t>
  </si>
  <si>
    <t>chkInclude2SelectList2</t>
  </si>
  <si>
    <t>chkInclude2SelectList3</t>
  </si>
  <si>
    <t>chkInclude2SelectList4</t>
  </si>
  <si>
    <t>chkInclude2SelectList5</t>
  </si>
  <si>
    <t>chkInclude2SelectList6</t>
  </si>
  <si>
    <t>chkInclude2SelectList7</t>
  </si>
  <si>
    <t>chkInclude2SelectList8</t>
  </si>
  <si>
    <t>txtFileExt1</t>
  </si>
  <si>
    <t>ppt*</t>
    <phoneticPr fontId="11" type="noConversion"/>
  </si>
  <si>
    <t>txtFileExt2</t>
  </si>
  <si>
    <t>doc*</t>
    <phoneticPr fontId="11" type="noConversion"/>
  </si>
  <si>
    <t>txtFileExt3</t>
  </si>
  <si>
    <t>xls*</t>
    <phoneticPr fontId="11" type="noConversion"/>
  </si>
  <si>
    <t>txtFileExt4</t>
  </si>
  <si>
    <t>dwg</t>
    <phoneticPr fontId="11" type="noConversion"/>
  </si>
  <si>
    <t>txtFileExt5</t>
  </si>
  <si>
    <t>html</t>
    <phoneticPr fontId="11" type="noConversion"/>
  </si>
  <si>
    <t>txtFileExt6</t>
  </si>
  <si>
    <t>txt</t>
    <phoneticPr fontId="11" type="noConversion"/>
  </si>
  <si>
    <t>txtFileExt7</t>
  </si>
  <si>
    <t>pdf</t>
    <phoneticPr fontId="11" type="noConversion"/>
  </si>
  <si>
    <t>txtFileExt8</t>
  </si>
  <si>
    <t>txtPgmName1</t>
  </si>
  <si>
    <t>파워포인트</t>
    <phoneticPr fontId="11" type="noConversion"/>
  </si>
  <si>
    <t>txtPgmName2</t>
  </si>
  <si>
    <t>워드</t>
    <phoneticPr fontId="11" type="noConversion"/>
  </si>
  <si>
    <t>txtPgmName3</t>
  </si>
  <si>
    <t>엑셀</t>
    <phoneticPr fontId="11" type="noConversion"/>
  </si>
  <si>
    <t>txtPgmName4</t>
  </si>
  <si>
    <t>AutoCAD</t>
    <phoneticPr fontId="11" type="noConversion"/>
  </si>
  <si>
    <t>txtPgmName5</t>
  </si>
  <si>
    <t>Notepad++</t>
    <phoneticPr fontId="11" type="noConversion"/>
  </si>
  <si>
    <t>txtPgmName6</t>
  </si>
  <si>
    <t>메모장</t>
    <phoneticPr fontId="11" type="noConversion"/>
  </si>
  <si>
    <t>txtPgmName7</t>
  </si>
  <si>
    <t>PDF</t>
    <phoneticPr fontId="11" type="noConversion"/>
  </si>
  <si>
    <t>txtPgmName8</t>
  </si>
  <si>
    <t>txtPgmPath1</t>
  </si>
  <si>
    <t>자동지정</t>
    <phoneticPr fontId="11" type="noConversion"/>
  </si>
  <si>
    <t>txtPgmPath2</t>
  </si>
  <si>
    <t>txtPgmPath3</t>
  </si>
  <si>
    <t>txtPgmPath4</t>
  </si>
  <si>
    <t>C:\Program Files\Autodesk\AutoCAD 2019\acad.exe</t>
    <phoneticPr fontId="11" type="noConversion"/>
  </si>
  <si>
    <t>txtPgmPath5</t>
  </si>
  <si>
    <t>C:\Program Files\Notepad++\notepad++.exe</t>
    <phoneticPr fontId="11" type="noConversion"/>
  </si>
  <si>
    <t>txtPgmPath6</t>
  </si>
  <si>
    <t>C:\WINDOWS\system32\notepad.exe</t>
    <phoneticPr fontId="11" type="noConversion"/>
  </si>
  <si>
    <t>txtPgmPath7</t>
  </si>
  <si>
    <t>C:\Program Files\Adobe\Acrobat DC\Acrobat\acrobat.exe</t>
    <phoneticPr fontId="11" type="noConversion"/>
  </si>
  <si>
    <t>txtPgmPath8</t>
  </si>
  <si>
    <t>FS</t>
  </si>
  <si>
    <t>optAll</t>
  </si>
  <si>
    <t>optAllPercentWorkComplete</t>
    <phoneticPr fontId="11" type="noConversion"/>
  </si>
  <si>
    <t>optCompleted</t>
  </si>
  <si>
    <t>optDefinedDuration</t>
  </si>
  <si>
    <t>optDefinedPercentValue</t>
  </si>
  <si>
    <t>optExactMatch</t>
  </si>
  <si>
    <t>optLike</t>
  </si>
  <si>
    <t>optNotCompleted</t>
  </si>
  <si>
    <t>optThisMonth</t>
  </si>
  <si>
    <t>optThisWeek</t>
  </si>
  <si>
    <t>optToday</t>
  </si>
  <si>
    <t>txtPercentFrom</t>
  </si>
  <si>
    <t>txtPercentTo</t>
  </si>
  <si>
    <t>txtResource</t>
  </si>
  <si>
    <t>txtTaskEndDate</t>
  </si>
  <si>
    <t>txtTaskStartDate</t>
  </si>
  <si>
    <t>1.2.1.1</t>
  </si>
  <si>
    <t>1.2.1.2</t>
  </si>
  <si>
    <t>1.2.1.3</t>
  </si>
  <si>
    <t>1.2.1.4</t>
  </si>
  <si>
    <t>1.2.1.5</t>
  </si>
  <si>
    <t>1.2.1.6</t>
  </si>
  <si>
    <t>1.2.3</t>
  </si>
  <si>
    <t>1.3.1.1</t>
  </si>
  <si>
    <t>1.3.1.2</t>
  </si>
  <si>
    <t>1.3.1.3</t>
  </si>
  <si>
    <t>1.3.1.4</t>
  </si>
  <si>
    <t>1.3.1.5</t>
  </si>
  <si>
    <t>1.3.2.1</t>
  </si>
  <si>
    <t>1.3.2.2</t>
  </si>
  <si>
    <t>1.3.2.3</t>
  </si>
  <si>
    <t>1.3.3</t>
  </si>
  <si>
    <t>1.4</t>
  </si>
  <si>
    <t>1.4.1</t>
  </si>
  <si>
    <t>1.4.1.1</t>
  </si>
  <si>
    <t>1.4.1.2</t>
  </si>
  <si>
    <t>1.4.1.3</t>
  </si>
  <si>
    <t>1.4.2</t>
  </si>
  <si>
    <t>1.4.2.1</t>
  </si>
  <si>
    <t>1.4.2.2</t>
  </si>
  <si>
    <t>1.4.2.3</t>
  </si>
  <si>
    <t>1.4.3</t>
  </si>
  <si>
    <t>1.5</t>
  </si>
  <si>
    <t>1.5.1</t>
  </si>
  <si>
    <t>1.5.1.1</t>
  </si>
  <si>
    <t>1.5.1.2</t>
  </si>
  <si>
    <t>1.5.1.3</t>
  </si>
  <si>
    <t>1.5.1.4</t>
  </si>
  <si>
    <t>1.5.2</t>
  </si>
  <si>
    <t>1.5.2.1</t>
  </si>
  <si>
    <t>1.5.2.2</t>
  </si>
  <si>
    <t>1.5.2.3</t>
  </si>
  <si>
    <t>1.5.3</t>
  </si>
  <si>
    <t>Total</t>
  </si>
  <si>
    <t>2.3.3</t>
  </si>
  <si>
    <t>2.3.4</t>
  </si>
  <si>
    <t>김승범</t>
  </si>
  <si>
    <t>최현</t>
  </si>
  <si>
    <t>GIS분석</t>
  </si>
  <si>
    <t>생활인구</t>
  </si>
  <si>
    <t>법제화생활인구</t>
  </si>
  <si>
    <t>리포트 형식</t>
  </si>
  <si>
    <t>대시보드 (새창)</t>
  </si>
  <si>
    <t>생활이동데이터</t>
  </si>
  <si>
    <t>종합생활분석</t>
  </si>
  <si>
    <t>주민등록/생활인구 비교분석</t>
  </si>
  <si>
    <t>지역랭킹</t>
  </si>
  <si>
    <t>생활이동현황(유입/유출)</t>
  </si>
  <si>
    <t>이동목적분석</t>
  </si>
  <si>
    <t>이동수단분석</t>
  </si>
  <si>
    <t>관리자</t>
  </si>
  <si>
    <t>1.3.4</t>
  </si>
  <si>
    <t>1.5.4</t>
  </si>
  <si>
    <t>1.6</t>
  </si>
  <si>
    <t>박수진, 이선경</t>
  </si>
  <si>
    <t>서비스소개</t>
  </si>
  <si>
    <t>UI정의서</t>
  </si>
  <si>
    <t>06/30
W27</t>
  </si>
  <si>
    <t>1.7</t>
  </si>
  <si>
    <t>07/28
W31</t>
  </si>
  <si>
    <t>공통 레이아웃</t>
  </si>
  <si>
    <t>질문 별 시각화 설계</t>
  </si>
  <si>
    <t>지표분석</t>
  </si>
  <si>
    <t>대시보드</t>
  </si>
  <si>
    <t>18개 시도 웹ASP</t>
  </si>
  <si>
    <t>유동인구</t>
  </si>
  <si>
    <t>1.2.4</t>
  </si>
  <si>
    <t>1.2.5</t>
  </si>
  <si>
    <t>1.2.6</t>
  </si>
  <si>
    <t>종합생활인구분석</t>
  </si>
  <si>
    <t>생활인구현황</t>
  </si>
  <si>
    <t>생활패턴분석 (주야비분석)</t>
  </si>
  <si>
    <t>종합생활이동분석</t>
  </si>
  <si>
    <t>08/25
W35</t>
  </si>
  <si>
    <t>W9</t>
  </si>
  <si>
    <t>체류인구</t>
  </si>
  <si>
    <t>종합 체류인구 분석</t>
  </si>
  <si>
    <t>법제화생활인구 분석(가칭)</t>
  </si>
  <si>
    <t>시간별 체류인구 분석</t>
  </si>
  <si>
    <t>1.3.5</t>
  </si>
  <si>
    <t>1.4.4</t>
  </si>
  <si>
    <t>1.5.5</t>
  </si>
  <si>
    <t>기획</t>
  </si>
  <si>
    <t>기타</t>
  </si>
  <si>
    <t>1.3.2.4</t>
  </si>
  <si>
    <t>1.5.2.4</t>
  </si>
  <si>
    <t>1.5.2.5</t>
  </si>
  <si>
    <t>1.6.1</t>
  </si>
  <si>
    <t>1.6.1.1</t>
  </si>
  <si>
    <t>1.6.1.2</t>
  </si>
  <si>
    <t>1.6.2</t>
  </si>
  <si>
    <t>1.6.2.1</t>
  </si>
  <si>
    <t>1.6.2.2</t>
  </si>
  <si>
    <t>1.7.1</t>
  </si>
  <si>
    <t>1.7.2</t>
  </si>
  <si>
    <t>1.7.3</t>
  </si>
  <si>
    <t>이운주</t>
  </si>
  <si>
    <t>1.7.1.1</t>
  </si>
  <si>
    <t>1.7.1.2</t>
  </si>
  <si>
    <t>1.7.1.3</t>
  </si>
  <si>
    <t>이선경</t>
  </si>
  <si>
    <t>일 (월평균 근무일수)</t>
  </si>
  <si>
    <t>Workload현황(주별)</t>
  </si>
  <si>
    <t>* 주별 또는 월별 Workload를 보여줍니다.</t>
  </si>
  <si>
    <t>* "Workload(주별)" 또는 "Workload(월별)" 메뉴를 클릭해야 내용이 갱신됩니다.</t>
  </si>
  <si>
    <t>2.4</t>
  </si>
  <si>
    <t>2.4.1</t>
  </si>
  <si>
    <t>2.4.2</t>
  </si>
  <si>
    <t>2.4.3</t>
  </si>
  <si>
    <t>2.5</t>
  </si>
  <si>
    <t>2.5.1</t>
  </si>
  <si>
    <t>2.5.2</t>
  </si>
  <si>
    <t>2.5.3</t>
  </si>
  <si>
    <t>2.5.4</t>
  </si>
  <si>
    <t>2.5.5</t>
  </si>
  <si>
    <t>2.6</t>
  </si>
  <si>
    <t>2.6.1</t>
  </si>
  <si>
    <t>2.6.2</t>
  </si>
  <si>
    <t>2.7</t>
  </si>
  <si>
    <t>2.7.1</t>
  </si>
  <si>
    <t>2.7.2</t>
  </si>
  <si>
    <t>2.7.3</t>
  </si>
  <si>
    <t>한 탭을 차지하지 않고, 다른 탭에 차트만 포함될 수 있음</t>
  </si>
  <si>
    <t>2.3.5</t>
  </si>
  <si>
    <t>2.4.4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</si>
</sst>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76" formatCode="0_);[Red]\(0\)"/>
    <numFmt numFmtId="177" formatCode="0.0"/>
    <numFmt numFmtId="178" formatCode="0.0_);[Red]\(0.0\)"/>
    <numFmt numFmtId="179" formatCode="0.00_);[Red]\(0.00\)"/>
  </numFmts>
  <fonts count="73">
    <font>
      <sz val="11"/>
      <color theme="1"/>
      <name val="맑은 고딕"/>
      <family val="2"/>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3"/>
      <charset val="129"/>
      <scheme val="minor"/>
    </font>
    <font>
      <u/>
      <sz val="11"/>
      <color theme="10"/>
      <name val="돋움"/>
      <family val="3"/>
      <charset val="129"/>
    </font>
    <font>
      <sz val="8"/>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name val="맑은 고딕"/>
      <family val="3"/>
      <charset val="129"/>
      <scheme val="minor"/>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8"/>
      <name val="Calibri"/>
      <family val="2"/>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10"/>
      <color theme="10"/>
      <name val="Calibri"/>
      <family val="2"/>
    </font>
    <font>
      <sz val="11"/>
      <color theme="1"/>
      <name val="맑은 고딕"/>
      <family val="2"/>
      <scheme val="minor"/>
    </font>
    <font>
      <b/>
      <sz val="9"/>
      <name val="맑은 고딕"/>
      <family val="3"/>
      <charset val="129"/>
      <scheme val="minor"/>
    </font>
    <font>
      <b/>
      <sz val="20"/>
      <color rgb="FFFF8800"/>
      <name val="Calibri"/>
      <family val="2"/>
    </font>
    <font>
      <sz val="9"/>
      <color rgb="FFFF8800"/>
      <name val="Calibri"/>
      <family val="2"/>
    </font>
    <font>
      <sz val="8"/>
      <color theme="0"/>
      <name val="Calibri"/>
      <family val="2"/>
    </font>
    <font>
      <sz val="8"/>
      <color rgb="FFFF8800"/>
      <name val="Calibri"/>
      <family val="2"/>
    </font>
    <font>
      <b/>
      <sz val="14"/>
      <color rgb="FFFF8800"/>
      <name val="Calibri"/>
      <family val="2"/>
    </font>
    <font>
      <sz val="9"/>
      <name val="Calibri"/>
      <family val="2"/>
    </font>
    <font>
      <sz val="9"/>
      <color theme="0"/>
      <name val="Calibri"/>
      <family val="2"/>
    </font>
    <font>
      <sz val="9"/>
      <color theme="1"/>
      <name val="Calibri"/>
      <family val="2"/>
    </font>
    <font>
      <sz val="9"/>
      <color rgb="FFFF0000"/>
      <name val="Calibri"/>
      <family val="2"/>
    </font>
    <font>
      <sz val="9"/>
      <color theme="1"/>
      <name val="맑은 고딕"/>
      <family val="3"/>
      <charset val="129"/>
    </font>
    <font>
      <b/>
      <sz val="11"/>
      <color theme="0"/>
      <name val="Calibri"/>
      <family val="2"/>
      <charset val="129"/>
    </font>
    <font>
      <sz val="12"/>
      <name val="Calibri"/>
      <family val="3"/>
      <charset val="129"/>
    </font>
    <font>
      <sz val="9"/>
      <color theme="1"/>
      <name val="맑은 고딕"/>
      <family val="2"/>
      <charset val="129"/>
    </font>
    <font>
      <sz val="9"/>
      <color theme="1"/>
      <name val="Calibri"/>
      <family val="3"/>
      <charset val="129"/>
    </font>
    <font>
      <sz val="9"/>
      <color theme="1"/>
      <name val="Arial Unicode MS"/>
      <family val="2"/>
      <charset val="129"/>
    </font>
    <font>
      <b/>
      <sz val="10"/>
      <color theme="10"/>
      <name val="Malgun Gothic"/>
      <family val="3"/>
      <charset val="129"/>
    </font>
    <font>
      <b/>
      <sz val="9"/>
      <color rgb="FFFF8800"/>
      <name val="돋움"/>
      <family val="3"/>
      <charset val="129"/>
    </font>
    <font>
      <sz val="9"/>
      <color rgb="FFFF8800"/>
      <name val="맑은 고딕"/>
      <family val="3"/>
      <charset val="129"/>
      <scheme val="minor"/>
    </font>
    <font>
      <sz val="10"/>
      <color theme="0"/>
      <name val="맑은 고딕"/>
      <family val="2"/>
      <charset val="129"/>
    </font>
    <font>
      <sz val="11"/>
      <name val="돋움"/>
      <family val="3"/>
      <charset val="129"/>
    </font>
    <font>
      <sz val="11"/>
      <color theme="1"/>
      <name val="맑은 고딕"/>
      <family val="3"/>
      <charset val="129"/>
      <scheme val="minor"/>
    </font>
    <font>
      <sz val="9"/>
      <color rgb="FF000000"/>
      <name val="맑은 고딕"/>
      <family val="3"/>
      <charset val="129"/>
    </font>
    <font>
      <sz val="11"/>
      <name val="Arial Narrow"/>
      <family val="2"/>
    </font>
  </fonts>
  <fills count="23">
    <fill>
      <patternFill patternType="none"/>
    </fill>
    <fill>
      <patternFill patternType="gray125"/>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rgb="FFFFFF00"/>
        <bgColor indexed="64"/>
      </patternFill>
    </fill>
    <fill>
      <patternFill patternType="solid">
        <fgColor theme="8"/>
      </patternFill>
    </fill>
    <fill>
      <patternFill patternType="solid">
        <fgColor rgb="FFFF0000"/>
        <bgColor indexed="64"/>
      </patternFill>
    </fill>
  </fills>
  <borders count="32">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right/>
      <top/>
      <bottom style="thin">
        <color theme="0"/>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right/>
      <top style="thin">
        <color theme="0" tint="-0.14993743705557422"/>
      </top>
      <bottom style="thin">
        <color theme="0" tint="-0.14993743705557422"/>
      </bottom>
      <diagonal/>
    </border>
  </borders>
  <cellStyleXfs count="40">
    <xf numFmtId="0" fontId="0" fillId="0" borderId="0"/>
    <xf numFmtId="0" fontId="12" fillId="0" borderId="0" applyNumberFormat="0" applyFill="0" applyBorder="0" applyAlignment="0" applyProtection="0"/>
    <xf numFmtId="9" fontId="48" fillId="0" borderId="0" applyFont="0" applyFill="0" applyBorder="0" applyAlignment="0" applyProtection="0">
      <alignment vertical="center"/>
    </xf>
    <xf numFmtId="0" fontId="68" fillId="21" borderId="0" applyNumberFormat="0" applyBorder="0" applyAlignment="0" applyProtection="0">
      <alignment vertical="center"/>
    </xf>
    <xf numFmtId="9" fontId="69" fillId="0" borderId="0" applyFont="0" applyFill="0" applyBorder="0" applyAlignment="0" applyProtection="0">
      <alignment vertical="center"/>
    </xf>
    <xf numFmtId="0" fontId="69" fillId="0" borderId="0"/>
    <xf numFmtId="0" fontId="70" fillId="0" borderId="0"/>
    <xf numFmtId="0" fontId="10" fillId="0" borderId="0">
      <alignment vertical="center"/>
    </xf>
    <xf numFmtId="0" fontId="9" fillId="0" borderId="0">
      <alignment vertical="center"/>
    </xf>
    <xf numFmtId="0" fontId="8" fillId="0" borderId="0">
      <alignment vertical="center"/>
    </xf>
    <xf numFmtId="0" fontId="8" fillId="0" borderId="0">
      <alignment vertical="center"/>
    </xf>
    <xf numFmtId="0" fontId="7" fillId="0" borderId="0">
      <alignment vertical="center"/>
    </xf>
    <xf numFmtId="0" fontId="7" fillId="0" borderId="0">
      <alignment vertical="center"/>
    </xf>
    <xf numFmtId="0" fontId="6" fillId="0" borderId="0">
      <alignment vertical="center"/>
    </xf>
    <xf numFmtId="0" fontId="5"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 fillId="0" borderId="0">
      <alignment vertical="center"/>
    </xf>
  </cellStyleXfs>
  <cellXfs count="280">
    <xf numFmtId="0" fontId="0" fillId="0" borderId="0" xfId="0"/>
    <xf numFmtId="0" fontId="15" fillId="0" borderId="0" xfId="0" applyFont="1" applyAlignment="1">
      <alignment vertical="center"/>
    </xf>
    <xf numFmtId="0" fontId="14" fillId="0" borderId="0" xfId="0" applyFont="1" applyAlignment="1">
      <alignment vertical="center"/>
    </xf>
    <xf numFmtId="14" fontId="16" fillId="0" borderId="0" xfId="0" applyNumberFormat="1" applyFont="1" applyAlignment="1">
      <alignment vertical="center"/>
    </xf>
    <xf numFmtId="14" fontId="17" fillId="0" borderId="0" xfId="0" applyNumberFormat="1" applyFont="1" applyAlignment="1">
      <alignment vertical="center"/>
    </xf>
    <xf numFmtId="14" fontId="18" fillId="2" borderId="0" xfId="0" quotePrefix="1" applyNumberFormat="1" applyFont="1" applyFill="1"/>
    <xf numFmtId="14" fontId="18" fillId="2" borderId="0" xfId="0" applyNumberFormat="1" applyFont="1" applyFill="1" applyAlignment="1">
      <alignment vertical="center"/>
    </xf>
    <xf numFmtId="0" fontId="18" fillId="2" borderId="0" xfId="0" applyFont="1" applyFill="1"/>
    <xf numFmtId="176" fontId="20" fillId="2" borderId="0" xfId="0" applyNumberFormat="1" applyFont="1" applyFill="1" applyAlignment="1" applyProtection="1">
      <alignment vertical="center"/>
      <protection locked="0"/>
    </xf>
    <xf numFmtId="14" fontId="19" fillId="2" borderId="0" xfId="0" applyNumberFormat="1" applyFont="1" applyFill="1" applyAlignment="1">
      <alignment vertical="center"/>
    </xf>
    <xf numFmtId="14" fontId="18" fillId="0" borderId="6" xfId="0" applyNumberFormat="1" applyFont="1" applyBorder="1" applyAlignment="1" applyProtection="1">
      <alignment vertical="top"/>
      <protection locked="0"/>
    </xf>
    <xf numFmtId="14" fontId="18" fillId="0" borderId="6" xfId="0" applyNumberFormat="1" applyFont="1" applyBorder="1" applyAlignment="1" applyProtection="1">
      <alignment vertical="center"/>
      <protection locked="0"/>
    </xf>
    <xf numFmtId="0" fontId="18" fillId="0" borderId="6" xfId="0" applyFont="1" applyBorder="1" applyAlignment="1" applyProtection="1">
      <alignment vertical="top"/>
      <protection locked="0"/>
    </xf>
    <xf numFmtId="0" fontId="18" fillId="0" borderId="6" xfId="0" applyFont="1" applyBorder="1" applyAlignment="1" applyProtection="1">
      <alignment vertical="center" wrapText="1"/>
      <protection locked="0"/>
    </xf>
    <xf numFmtId="0" fontId="18" fillId="0" borderId="6" xfId="0" applyFont="1" applyBorder="1" applyAlignment="1" applyProtection="1">
      <alignment vertical="center"/>
      <protection locked="0"/>
    </xf>
    <xf numFmtId="0" fontId="18" fillId="0" borderId="0" xfId="0" applyFont="1" applyAlignment="1" applyProtection="1">
      <alignment vertical="top"/>
      <protection locked="0"/>
    </xf>
    <xf numFmtId="14" fontId="21" fillId="0" borderId="0" xfId="0" applyNumberFormat="1" applyFont="1" applyAlignment="1" applyProtection="1">
      <alignment horizontal="right" vertical="top"/>
      <protection locked="0"/>
    </xf>
    <xf numFmtId="179" fontId="18" fillId="4" borderId="7" xfId="0" applyNumberFormat="1" applyFont="1" applyFill="1" applyBorder="1" applyAlignment="1" applyProtection="1">
      <alignment vertical="center"/>
      <protection locked="0"/>
    </xf>
    <xf numFmtId="14" fontId="21" fillId="0" borderId="8" xfId="0" applyNumberFormat="1" applyFont="1" applyBorder="1" applyAlignment="1" applyProtection="1">
      <alignment horizontal="right" vertical="top"/>
      <protection locked="0"/>
    </xf>
    <xf numFmtId="14" fontId="18" fillId="0" borderId="8" xfId="0" applyNumberFormat="1" applyFont="1" applyBorder="1" applyAlignment="1" applyProtection="1">
      <alignment vertical="center"/>
      <protection locked="0"/>
    </xf>
    <xf numFmtId="0" fontId="18" fillId="0" borderId="8" xfId="0" applyFont="1" applyBorder="1" applyAlignment="1" applyProtection="1">
      <alignment vertical="top"/>
      <protection locked="0"/>
    </xf>
    <xf numFmtId="0" fontId="18" fillId="0" borderId="8" xfId="0" applyFont="1" applyBorder="1" applyAlignment="1" applyProtection="1">
      <alignment vertical="center"/>
      <protection locked="0"/>
    </xf>
    <xf numFmtId="14" fontId="21" fillId="0" borderId="0" xfId="0" applyNumberFormat="1" applyFont="1" applyAlignment="1" applyProtection="1">
      <alignment vertical="top"/>
      <protection locked="0"/>
    </xf>
    <xf numFmtId="14" fontId="18" fillId="0" borderId="0" xfId="0" applyNumberFormat="1" applyFont="1" applyAlignment="1" applyProtection="1">
      <alignment vertical="center"/>
      <protection locked="0"/>
    </xf>
    <xf numFmtId="0" fontId="18" fillId="0" borderId="9" xfId="0" applyFont="1" applyBorder="1" applyAlignment="1" applyProtection="1">
      <alignment vertical="center" wrapText="1"/>
      <protection locked="0"/>
    </xf>
    <xf numFmtId="14" fontId="18" fillId="0" borderId="0" xfId="0" applyNumberFormat="1" applyFont="1" applyAlignment="1" applyProtection="1">
      <alignment vertical="top"/>
      <protection locked="0"/>
    </xf>
    <xf numFmtId="14" fontId="21" fillId="0" borderId="8" xfId="0" applyNumberFormat="1" applyFont="1" applyBorder="1" applyAlignment="1" applyProtection="1">
      <alignment vertical="top"/>
      <protection locked="0"/>
    </xf>
    <xf numFmtId="0" fontId="18" fillId="0" borderId="8" xfId="0" applyFont="1" applyBorder="1" applyAlignment="1" applyProtection="1">
      <alignment vertical="center" wrapText="1"/>
      <protection locked="0"/>
    </xf>
    <xf numFmtId="14" fontId="21" fillId="0" borderId="9" xfId="0" applyNumberFormat="1" applyFont="1" applyBorder="1" applyAlignment="1" applyProtection="1">
      <alignment vertical="center" wrapText="1"/>
      <protection locked="0"/>
    </xf>
    <xf numFmtId="14" fontId="21" fillId="0" borderId="0" xfId="0" applyNumberFormat="1" applyFont="1" applyAlignment="1" applyProtection="1">
      <alignment horizontal="right" vertical="center" wrapText="1"/>
      <protection locked="0"/>
    </xf>
    <xf numFmtId="14" fontId="21" fillId="0" borderId="8" xfId="0" applyNumberFormat="1" applyFont="1" applyBorder="1" applyAlignment="1" applyProtection="1">
      <alignment vertical="center" wrapText="1"/>
      <protection locked="0"/>
    </xf>
    <xf numFmtId="0" fontId="18" fillId="0" borderId="8" xfId="0" applyFont="1" applyBorder="1" applyProtection="1">
      <protection locked="0"/>
    </xf>
    <xf numFmtId="0" fontId="18" fillId="0" borderId="0" xfId="0" applyFont="1" applyProtection="1">
      <protection locked="0"/>
    </xf>
    <xf numFmtId="14" fontId="18" fillId="0" borderId="0" xfId="0" applyNumberFormat="1" applyFont="1" applyProtection="1">
      <protection locked="0"/>
    </xf>
    <xf numFmtId="14" fontId="18" fillId="0" borderId="9" xfId="0" applyNumberFormat="1" applyFont="1" applyBorder="1" applyAlignment="1" applyProtection="1">
      <alignment vertical="center"/>
      <protection locked="0"/>
    </xf>
    <xf numFmtId="0" fontId="18" fillId="0" borderId="9" xfId="0" applyFont="1" applyBorder="1" applyProtection="1">
      <protection locked="0"/>
    </xf>
    <xf numFmtId="14" fontId="18" fillId="0" borderId="10" xfId="0" applyNumberFormat="1" applyFont="1" applyBorder="1" applyAlignment="1" applyProtection="1">
      <alignment vertical="center"/>
      <protection locked="0"/>
    </xf>
    <xf numFmtId="0" fontId="18" fillId="0" borderId="10" xfId="0" applyFont="1" applyBorder="1" applyAlignment="1" applyProtection="1">
      <alignment vertical="top"/>
      <protection locked="0"/>
    </xf>
    <xf numFmtId="14" fontId="21" fillId="0" borderId="9" xfId="0" applyNumberFormat="1" applyFont="1" applyBorder="1" applyProtection="1">
      <protection locked="0"/>
    </xf>
    <xf numFmtId="10" fontId="18" fillId="4" borderId="7" xfId="0" applyNumberFormat="1" applyFont="1" applyFill="1" applyBorder="1" applyAlignment="1" applyProtection="1">
      <alignment vertical="center"/>
      <protection locked="0"/>
    </xf>
    <xf numFmtId="14" fontId="21" fillId="0" borderId="10" xfId="0" applyNumberFormat="1" applyFont="1" applyBorder="1" applyAlignment="1" applyProtection="1">
      <alignment horizontal="right" vertical="top"/>
      <protection locked="0"/>
    </xf>
    <xf numFmtId="14" fontId="21" fillId="0" borderId="6" xfId="0" applyNumberFormat="1" applyFont="1" applyBorder="1" applyAlignment="1" applyProtection="1">
      <alignment horizontal="right" vertical="top"/>
      <protection locked="0"/>
    </xf>
    <xf numFmtId="14" fontId="21" fillId="0" borderId="11" xfId="0" applyNumberFormat="1" applyFont="1" applyBorder="1" applyAlignment="1" applyProtection="1">
      <alignment horizontal="right" vertical="top"/>
      <protection locked="0"/>
    </xf>
    <xf numFmtId="14" fontId="18" fillId="0" borderId="11" xfId="0" applyNumberFormat="1" applyFont="1" applyBorder="1" applyAlignment="1" applyProtection="1">
      <alignment vertical="center"/>
      <protection locked="0"/>
    </xf>
    <xf numFmtId="0" fontId="18" fillId="0" borderId="11" xfId="0" applyFont="1" applyBorder="1" applyAlignment="1" applyProtection="1">
      <alignment vertical="top"/>
      <protection locked="0"/>
    </xf>
    <xf numFmtId="14" fontId="21" fillId="0" borderId="12" xfId="0" applyNumberFormat="1" applyFont="1" applyBorder="1" applyAlignment="1" applyProtection="1">
      <alignment vertical="top"/>
      <protection locked="0"/>
    </xf>
    <xf numFmtId="14" fontId="18" fillId="0" borderId="12" xfId="0" applyNumberFormat="1" applyFont="1" applyBorder="1" applyAlignment="1" applyProtection="1">
      <alignment vertical="center"/>
      <protection locked="0"/>
    </xf>
    <xf numFmtId="0" fontId="18" fillId="0" borderId="12" xfId="0" applyFont="1" applyBorder="1" applyAlignment="1" applyProtection="1">
      <alignment vertical="top"/>
      <protection locked="0"/>
    </xf>
    <xf numFmtId="0" fontId="18" fillId="0" borderId="9" xfId="0" applyFont="1" applyBorder="1" applyAlignment="1" applyProtection="1">
      <alignment vertical="center"/>
      <protection locked="0"/>
    </xf>
    <xf numFmtId="10" fontId="18" fillId="4" borderId="7" xfId="0" applyNumberFormat="1" applyFont="1" applyFill="1" applyBorder="1" applyAlignment="1">
      <alignment vertical="center"/>
    </xf>
    <xf numFmtId="14" fontId="18" fillId="0" borderId="13" xfId="0" applyNumberFormat="1" applyFont="1" applyBorder="1" applyAlignment="1" applyProtection="1">
      <alignment horizontal="right" vertical="top"/>
      <protection locked="0"/>
    </xf>
    <xf numFmtId="14" fontId="18" fillId="0" borderId="13" xfId="0" applyNumberFormat="1" applyFont="1" applyBorder="1" applyAlignment="1" applyProtection="1">
      <alignment vertical="center"/>
      <protection locked="0"/>
    </xf>
    <xf numFmtId="0" fontId="18" fillId="0" borderId="13" xfId="0" applyFont="1" applyBorder="1" applyAlignment="1" applyProtection="1">
      <alignment vertical="top"/>
      <protection locked="0"/>
    </xf>
    <xf numFmtId="0" fontId="18" fillId="0" borderId="13" xfId="0" applyFont="1" applyBorder="1" applyAlignment="1" applyProtection="1">
      <alignment vertical="center"/>
      <protection locked="0"/>
    </xf>
    <xf numFmtId="14" fontId="17" fillId="0" borderId="0" xfId="0" applyNumberFormat="1" applyFont="1" applyAlignment="1" applyProtection="1">
      <alignment vertical="top"/>
      <protection locked="0"/>
    </xf>
    <xf numFmtId="14" fontId="17" fillId="0" borderId="0" xfId="0" applyNumberFormat="1" applyFont="1" applyAlignment="1" applyProtection="1">
      <alignment vertical="center"/>
      <protection locked="0"/>
    </xf>
    <xf numFmtId="0" fontId="17" fillId="0" borderId="0" xfId="0" applyFont="1" applyAlignment="1" applyProtection="1">
      <alignment vertical="top"/>
      <protection locked="0"/>
    </xf>
    <xf numFmtId="14" fontId="17" fillId="0" borderId="0" xfId="0" applyNumberFormat="1" applyFont="1" applyProtection="1">
      <protection locked="0"/>
    </xf>
    <xf numFmtId="179" fontId="17" fillId="0" borderId="0" xfId="0" applyNumberFormat="1" applyFont="1" applyAlignment="1" applyProtection="1">
      <alignment vertical="center"/>
      <protection locked="0"/>
    </xf>
    <xf numFmtId="0" fontId="17" fillId="0" borderId="0" xfId="0" applyFont="1" applyProtection="1">
      <protection locked="0"/>
    </xf>
    <xf numFmtId="1" fontId="17" fillId="0" borderId="0" xfId="0" applyNumberFormat="1" applyFont="1" applyAlignment="1" applyProtection="1">
      <alignment vertical="center"/>
      <protection locked="0"/>
    </xf>
    <xf numFmtId="176" fontId="17" fillId="0" borderId="0" xfId="0" applyNumberFormat="1" applyFont="1" applyAlignment="1" applyProtection="1">
      <alignment vertical="center"/>
      <protection locked="0"/>
    </xf>
    <xf numFmtId="14" fontId="17" fillId="0" borderId="0" xfId="0" applyNumberFormat="1" applyFont="1"/>
    <xf numFmtId="14" fontId="17" fillId="2" borderId="0" xfId="0" applyNumberFormat="1" applyFont="1" applyFill="1" applyAlignment="1">
      <alignment vertical="top"/>
    </xf>
    <xf numFmtId="14" fontId="23" fillId="3" borderId="14" xfId="0" applyNumberFormat="1" applyFont="1" applyFill="1" applyBorder="1" applyAlignment="1">
      <alignment horizontal="center" vertical="center"/>
    </xf>
    <xf numFmtId="14" fontId="17" fillId="0" borderId="0" xfId="0" applyNumberFormat="1" applyFont="1" applyAlignment="1">
      <alignment horizontal="center" vertical="center"/>
    </xf>
    <xf numFmtId="0" fontId="18" fillId="7" borderId="15" xfId="0" applyFont="1" applyFill="1" applyBorder="1" applyAlignment="1">
      <alignment horizontal="left" vertical="top"/>
    </xf>
    <xf numFmtId="0" fontId="18" fillId="0" borderId="0" xfId="0" applyFont="1" applyAlignment="1">
      <alignment horizontal="left" vertical="top"/>
    </xf>
    <xf numFmtId="0" fontId="18" fillId="0" borderId="0" xfId="0" applyFont="1" applyAlignment="1">
      <alignment vertical="top"/>
    </xf>
    <xf numFmtId="14" fontId="18" fillId="0" borderId="0" xfId="0" applyNumberFormat="1" applyFont="1" applyAlignment="1">
      <alignment horizontal="left" vertical="top"/>
    </xf>
    <xf numFmtId="22" fontId="18" fillId="0" borderId="0" xfId="0" applyNumberFormat="1" applyFont="1" applyAlignment="1">
      <alignment horizontal="left" vertical="top"/>
    </xf>
    <xf numFmtId="14" fontId="26" fillId="6" borderId="14" xfId="0" applyNumberFormat="1" applyFont="1" applyFill="1" applyBorder="1" applyProtection="1">
      <protection locked="0"/>
    </xf>
    <xf numFmtId="14" fontId="26" fillId="0" borderId="14" xfId="0" applyNumberFormat="1" applyFont="1" applyBorder="1" applyProtection="1">
      <protection locked="0"/>
    </xf>
    <xf numFmtId="14" fontId="26" fillId="0" borderId="0" xfId="0" applyNumberFormat="1" applyFont="1"/>
    <xf numFmtId="0" fontId="29" fillId="0" borderId="0" xfId="0" applyFont="1"/>
    <xf numFmtId="14" fontId="26" fillId="0" borderId="14" xfId="0" applyNumberFormat="1" applyFont="1" applyBorder="1"/>
    <xf numFmtId="0" fontId="31" fillId="0" borderId="0" xfId="0" applyFont="1"/>
    <xf numFmtId="0" fontId="18" fillId="0" borderId="0" xfId="0" applyFont="1" applyAlignment="1" applyProtection="1">
      <alignment horizontal="center"/>
      <protection locked="0"/>
    </xf>
    <xf numFmtId="0" fontId="32" fillId="0" borderId="0" xfId="0" applyFont="1" applyAlignment="1" applyProtection="1">
      <alignment horizontal="center"/>
      <protection locked="0"/>
    </xf>
    <xf numFmtId="0" fontId="33" fillId="0" borderId="0" xfId="0" applyFont="1" applyProtection="1">
      <protection locked="0"/>
    </xf>
    <xf numFmtId="0" fontId="18" fillId="0" borderId="0" xfId="0" applyFont="1" applyAlignment="1" applyProtection="1">
      <alignment vertical="center"/>
      <protection locked="0"/>
    </xf>
    <xf numFmtId="0" fontId="34" fillId="11" borderId="17" xfId="1" applyFont="1" applyFill="1" applyBorder="1" applyAlignment="1" applyProtection="1">
      <alignment horizontal="center" vertical="center" wrapText="1"/>
      <protection locked="0"/>
    </xf>
    <xf numFmtId="0" fontId="34" fillId="10" borderId="17" xfId="1" applyFont="1" applyFill="1" applyBorder="1" applyAlignment="1" applyProtection="1">
      <alignment horizontal="center" vertical="center" wrapText="1"/>
      <protection locked="0"/>
    </xf>
    <xf numFmtId="0" fontId="34" fillId="12" borderId="17" xfId="1" applyFont="1" applyFill="1" applyBorder="1" applyAlignment="1" applyProtection="1">
      <alignment horizontal="center" vertical="center" wrapText="1"/>
      <protection locked="0"/>
    </xf>
    <xf numFmtId="0" fontId="34" fillId="13" borderId="17" xfId="1" applyFont="1" applyFill="1" applyBorder="1" applyAlignment="1" applyProtection="1">
      <alignment horizontal="center" vertical="center" wrapText="1"/>
      <protection locked="0"/>
    </xf>
    <xf numFmtId="0" fontId="34" fillId="9" borderId="17" xfId="1" applyFont="1" applyFill="1" applyBorder="1" applyAlignment="1" applyProtection="1">
      <alignment horizontal="center" vertical="center" wrapText="1"/>
      <protection locked="0"/>
    </xf>
    <xf numFmtId="0" fontId="35" fillId="9" borderId="17" xfId="1" applyFont="1" applyFill="1" applyBorder="1" applyAlignment="1" applyProtection="1">
      <alignment horizontal="center" vertical="center" wrapText="1"/>
      <protection locked="0"/>
    </xf>
    <xf numFmtId="0" fontId="31" fillId="0" borderId="0" xfId="0" applyFont="1" applyAlignment="1">
      <alignment vertical="center"/>
    </xf>
    <xf numFmtId="0" fontId="31" fillId="0" borderId="0" xfId="0" applyFont="1" applyAlignment="1">
      <alignment horizontal="center" vertical="center"/>
    </xf>
    <xf numFmtId="0" fontId="17" fillId="0" borderId="0" xfId="0" applyFont="1" applyAlignment="1">
      <alignment vertical="center"/>
    </xf>
    <xf numFmtId="0" fontId="36" fillId="0" borderId="0" xfId="0" applyFont="1" applyAlignment="1" applyProtection="1">
      <alignment horizontal="center"/>
      <protection locked="0"/>
    </xf>
    <xf numFmtId="0" fontId="35" fillId="8" borderId="17" xfId="1" applyFont="1" applyFill="1" applyBorder="1" applyAlignment="1" applyProtection="1">
      <alignment horizontal="center" vertical="center" wrapText="1"/>
      <protection locked="0"/>
    </xf>
    <xf numFmtId="0" fontId="33" fillId="0" borderId="0" xfId="0" applyFont="1" applyAlignment="1" applyProtection="1">
      <alignment horizontal="center"/>
      <protection locked="0"/>
    </xf>
    <xf numFmtId="0" fontId="36" fillId="14" borderId="0" xfId="0" applyFont="1" applyFill="1" applyAlignment="1" applyProtection="1">
      <alignment horizontal="left"/>
      <protection locked="0"/>
    </xf>
    <xf numFmtId="0" fontId="18" fillId="14" borderId="0" xfId="0" applyFont="1" applyFill="1" applyProtection="1">
      <protection locked="0"/>
    </xf>
    <xf numFmtId="0" fontId="33" fillId="14" borderId="0" xfId="0" applyFont="1" applyFill="1" applyProtection="1">
      <protection locked="0"/>
    </xf>
    <xf numFmtId="0" fontId="18" fillId="14" borderId="0" xfId="0" applyFont="1" applyFill="1" applyAlignment="1" applyProtection="1">
      <alignment vertical="center"/>
      <protection locked="0"/>
    </xf>
    <xf numFmtId="0" fontId="31" fillId="0" borderId="0" xfId="0" applyFont="1" applyAlignment="1">
      <alignment horizontal="center"/>
    </xf>
    <xf numFmtId="0" fontId="12" fillId="0" borderId="18" xfId="1" applyFill="1" applyBorder="1" applyAlignment="1" applyProtection="1">
      <alignment horizontal="center" vertical="center" wrapText="1"/>
      <protection locked="0"/>
    </xf>
    <xf numFmtId="0" fontId="17" fillId="0" borderId="0" xfId="0" applyFont="1" applyAlignment="1" applyProtection="1">
      <alignment horizontal="left"/>
      <protection locked="0"/>
    </xf>
    <xf numFmtId="0" fontId="31" fillId="19" borderId="20" xfId="0" applyFont="1" applyFill="1" applyBorder="1" applyAlignment="1">
      <alignment vertical="center"/>
    </xf>
    <xf numFmtId="0" fontId="28" fillId="0" borderId="5" xfId="0" applyFont="1" applyBorder="1" applyAlignment="1" applyProtection="1">
      <alignment vertical="top"/>
      <protection locked="0"/>
    </xf>
    <xf numFmtId="0" fontId="28" fillId="0" borderId="5" xfId="0" applyFont="1" applyBorder="1" applyAlignment="1" applyProtection="1">
      <alignment horizontal="center" vertical="top"/>
      <protection locked="0"/>
    </xf>
    <xf numFmtId="0" fontId="28" fillId="0" borderId="5" xfId="0" applyFont="1" applyBorder="1" applyAlignment="1" applyProtection="1">
      <alignment horizontal="left" vertical="top"/>
      <protection locked="0"/>
    </xf>
    <xf numFmtId="14" fontId="28" fillId="0" borderId="5" xfId="0" applyNumberFormat="1" applyFont="1" applyBorder="1" applyAlignment="1" applyProtection="1">
      <alignment horizontal="center" vertical="top"/>
      <protection locked="0"/>
    </xf>
    <xf numFmtId="178" fontId="28" fillId="0" borderId="5" xfId="0" applyNumberFormat="1" applyFont="1" applyBorder="1" applyAlignment="1" applyProtection="1">
      <alignment horizontal="center" vertical="top"/>
      <protection locked="0"/>
    </xf>
    <xf numFmtId="177" fontId="28" fillId="0" borderId="5" xfId="0" applyNumberFormat="1" applyFont="1" applyBorder="1" applyAlignment="1" applyProtection="1">
      <alignment horizontal="center" vertical="top"/>
      <protection locked="0"/>
    </xf>
    <xf numFmtId="1" fontId="28" fillId="0" borderId="5" xfId="0" applyNumberFormat="1" applyFont="1" applyBorder="1" applyAlignment="1" applyProtection="1">
      <alignment horizontal="center" vertical="top"/>
      <protection locked="0"/>
    </xf>
    <xf numFmtId="14" fontId="28" fillId="0" borderId="5" xfId="0" applyNumberFormat="1" applyFont="1" applyBorder="1" applyAlignment="1" applyProtection="1">
      <alignment horizontal="left" vertical="top"/>
      <protection locked="0"/>
    </xf>
    <xf numFmtId="10" fontId="28" fillId="0" borderId="5" xfId="0" applyNumberFormat="1" applyFont="1" applyBorder="1" applyAlignment="1" applyProtection="1">
      <alignment horizontal="right" vertical="top" wrapText="1"/>
      <protection locked="0"/>
    </xf>
    <xf numFmtId="10" fontId="28" fillId="0" borderId="5" xfId="0" applyNumberFormat="1" applyFont="1" applyBorder="1" applyAlignment="1" applyProtection="1">
      <alignment horizontal="right" vertical="top"/>
      <protection locked="0"/>
    </xf>
    <xf numFmtId="0" fontId="18" fillId="20" borderId="0" xfId="0" applyFont="1" applyFill="1" applyAlignment="1">
      <alignment vertical="top"/>
    </xf>
    <xf numFmtId="0" fontId="18" fillId="20" borderId="0" xfId="0" applyFont="1" applyFill="1" applyAlignment="1">
      <alignment horizontal="left" vertical="top"/>
    </xf>
    <xf numFmtId="0" fontId="56" fillId="3" borderId="1" xfId="0" applyFont="1" applyFill="1" applyBorder="1" applyAlignment="1">
      <alignment horizontal="center" vertical="center"/>
    </xf>
    <xf numFmtId="0" fontId="56" fillId="3" borderId="1" xfId="0" applyFont="1" applyFill="1" applyBorder="1" applyAlignment="1">
      <alignment horizontal="center" vertical="center" wrapText="1"/>
    </xf>
    <xf numFmtId="0" fontId="57" fillId="0" borderId="0" xfId="0" applyFont="1" applyAlignment="1">
      <alignment vertical="top"/>
    </xf>
    <xf numFmtId="0" fontId="57" fillId="0" borderId="0" xfId="0" applyFont="1" applyAlignment="1">
      <alignment horizontal="center" vertical="top"/>
    </xf>
    <xf numFmtId="0" fontId="58" fillId="0" borderId="0" xfId="0" applyFont="1" applyAlignment="1">
      <alignment vertical="top"/>
    </xf>
    <xf numFmtId="0" fontId="57" fillId="0" borderId="0" xfId="0" applyFont="1" applyAlignment="1">
      <alignment vertical="top" wrapText="1"/>
    </xf>
    <xf numFmtId="0" fontId="57" fillId="0" borderId="0" xfId="0" applyFont="1" applyAlignment="1">
      <alignment horizontal="left" vertical="top" wrapText="1"/>
    </xf>
    <xf numFmtId="0" fontId="57" fillId="0" borderId="0" xfId="0" applyFont="1" applyAlignment="1">
      <alignment horizontal="left" vertical="top"/>
    </xf>
    <xf numFmtId="0" fontId="58" fillId="0" borderId="0" xfId="0" applyFont="1" applyAlignment="1">
      <alignment horizontal="left" vertical="top"/>
    </xf>
    <xf numFmtId="14" fontId="57" fillId="0" borderId="0" xfId="0" applyNumberFormat="1" applyFont="1" applyAlignment="1">
      <alignment horizontal="left" vertical="top" wrapText="1"/>
    </xf>
    <xf numFmtId="0" fontId="57" fillId="0" borderId="0" xfId="0" applyFont="1"/>
    <xf numFmtId="0" fontId="55" fillId="0" borderId="0" xfId="0" applyFont="1" applyAlignment="1">
      <alignment horizontal="left" vertical="top"/>
    </xf>
    <xf numFmtId="0" fontId="58" fillId="0" borderId="0" xfId="0" applyFont="1" applyAlignment="1">
      <alignment horizontal="left" vertical="top" wrapText="1"/>
    </xf>
    <xf numFmtId="0" fontId="60" fillId="8" borderId="17" xfId="1" applyFont="1" applyFill="1" applyBorder="1" applyAlignment="1" applyProtection="1">
      <alignment horizontal="center" vertical="center" wrapText="1"/>
      <protection locked="0"/>
    </xf>
    <xf numFmtId="0" fontId="24" fillId="20" borderId="0" xfId="0" applyFont="1" applyFill="1"/>
    <xf numFmtId="0" fontId="12" fillId="20" borderId="0" xfId="1" applyFill="1" applyBorder="1" applyAlignment="1">
      <alignment horizontal="left" vertical="top"/>
    </xf>
    <xf numFmtId="14" fontId="18" fillId="20" borderId="0" xfId="0" applyNumberFormat="1" applyFont="1" applyFill="1" applyAlignment="1">
      <alignment horizontal="left" vertical="top"/>
    </xf>
    <xf numFmtId="0" fontId="18" fillId="18" borderId="0" xfId="0" applyFont="1" applyFill="1" applyAlignment="1">
      <alignment vertical="top"/>
    </xf>
    <xf numFmtId="0" fontId="18" fillId="18" borderId="0" xfId="0" quotePrefix="1" applyFont="1" applyFill="1" applyAlignment="1">
      <alignment horizontal="left" vertical="top"/>
    </xf>
    <xf numFmtId="0" fontId="18" fillId="18" borderId="0" xfId="0" applyFont="1" applyFill="1" applyAlignment="1">
      <alignment horizontal="left" vertical="top"/>
    </xf>
    <xf numFmtId="0" fontId="62" fillId="0" borderId="0" xfId="0" applyFont="1" applyAlignment="1">
      <alignment vertical="top" wrapText="1"/>
    </xf>
    <xf numFmtId="0" fontId="63" fillId="0" borderId="0" xfId="0" applyFont="1" applyAlignment="1">
      <alignment vertical="top" wrapText="1"/>
    </xf>
    <xf numFmtId="0" fontId="64" fillId="0" borderId="0" xfId="0" applyFont="1" applyAlignment="1">
      <alignment vertical="top" wrapText="1"/>
    </xf>
    <xf numFmtId="0" fontId="28" fillId="0" borderId="23" xfId="0" applyFont="1" applyBorder="1" applyAlignment="1" applyProtection="1">
      <alignment horizontal="center" vertical="top"/>
      <protection locked="0"/>
    </xf>
    <xf numFmtId="14" fontId="28" fillId="0" borderId="23" xfId="0" applyNumberFormat="1" applyFont="1" applyBorder="1" applyAlignment="1" applyProtection="1">
      <alignment horizontal="center" vertical="center"/>
      <protection locked="0"/>
    </xf>
    <xf numFmtId="0" fontId="51" fillId="16" borderId="0" xfId="0" applyFont="1" applyFill="1" applyAlignment="1">
      <alignment horizontal="left" vertical="center"/>
    </xf>
    <xf numFmtId="0" fontId="17" fillId="5" borderId="1" xfId="0" applyFont="1" applyFill="1" applyBorder="1" applyAlignment="1">
      <alignment horizontal="left" wrapText="1"/>
    </xf>
    <xf numFmtId="0" fontId="17" fillId="5" borderId="2" xfId="0" applyFont="1" applyFill="1" applyBorder="1" applyAlignment="1">
      <alignment horizontal="left" wrapText="1"/>
    </xf>
    <xf numFmtId="14" fontId="17" fillId="0" borderId="0" xfId="0" applyNumberFormat="1" applyFont="1" applyAlignment="1" applyProtection="1">
      <alignment horizontal="left"/>
      <protection locked="0"/>
    </xf>
    <xf numFmtId="10" fontId="17" fillId="0" borderId="0" xfId="0" applyNumberFormat="1" applyFont="1" applyAlignment="1" applyProtection="1">
      <alignment horizontal="left"/>
      <protection locked="0"/>
    </xf>
    <xf numFmtId="0" fontId="17" fillId="0" borderId="0" xfId="0" quotePrefix="1" applyFont="1" applyAlignment="1" applyProtection="1">
      <alignment horizontal="left"/>
      <protection locked="0"/>
    </xf>
    <xf numFmtId="0" fontId="17" fillId="0" borderId="0" xfId="0" applyFont="1" applyAlignment="1" applyProtection="1">
      <alignment horizontal="center"/>
      <protection locked="0"/>
    </xf>
    <xf numFmtId="10" fontId="17" fillId="0" borderId="0" xfId="0" applyNumberFormat="1" applyFont="1" applyAlignment="1" applyProtection="1">
      <alignment horizontal="center"/>
      <protection locked="0"/>
    </xf>
    <xf numFmtId="0" fontId="28" fillId="0" borderId="23" xfId="0" applyFont="1" applyBorder="1" applyAlignment="1" applyProtection="1">
      <alignment vertical="top"/>
      <protection locked="0"/>
    </xf>
    <xf numFmtId="0" fontId="28" fillId="0" borderId="23" xfId="0" applyFont="1" applyBorder="1" applyAlignment="1" applyProtection="1">
      <alignment horizontal="left" vertical="top"/>
      <protection locked="0"/>
    </xf>
    <xf numFmtId="14" fontId="28" fillId="0" borderId="23" xfId="0" applyNumberFormat="1" applyFont="1" applyBorder="1" applyAlignment="1" applyProtection="1">
      <alignment horizontal="center" vertical="top"/>
      <protection locked="0"/>
    </xf>
    <xf numFmtId="178" fontId="28" fillId="0" borderId="23" xfId="0" applyNumberFormat="1" applyFont="1" applyBorder="1" applyAlignment="1" applyProtection="1">
      <alignment horizontal="center" vertical="top"/>
      <protection locked="0"/>
    </xf>
    <xf numFmtId="177" fontId="28" fillId="0" borderId="23" xfId="0" applyNumberFormat="1" applyFont="1" applyBorder="1" applyAlignment="1" applyProtection="1">
      <alignment horizontal="center" vertical="top"/>
      <protection locked="0"/>
    </xf>
    <xf numFmtId="1" fontId="28" fillId="0" borderId="23" xfId="0" applyNumberFormat="1" applyFont="1" applyBorder="1" applyAlignment="1" applyProtection="1">
      <alignment horizontal="center" vertical="top"/>
      <protection locked="0"/>
    </xf>
    <xf numFmtId="10" fontId="28" fillId="0" borderId="23" xfId="2" applyNumberFormat="1" applyFont="1" applyBorder="1" applyAlignment="1" applyProtection="1">
      <alignment horizontal="right" vertical="top" wrapText="1"/>
      <protection locked="0"/>
    </xf>
    <xf numFmtId="0" fontId="28" fillId="0" borderId="23" xfId="0" quotePrefix="1" applyFont="1" applyBorder="1" applyAlignment="1" applyProtection="1">
      <alignment horizontal="left" vertical="top"/>
      <protection locked="0"/>
    </xf>
    <xf numFmtId="0" fontId="43" fillId="16" borderId="0" xfId="1" applyNumberFormat="1" applyFont="1" applyFill="1" applyBorder="1" applyAlignment="1">
      <alignment vertical="top"/>
    </xf>
    <xf numFmtId="10" fontId="28" fillId="16" borderId="23" xfId="2" applyNumberFormat="1" applyFont="1" applyFill="1" applyBorder="1" applyAlignment="1" applyProtection="1">
      <alignment horizontal="right" vertical="top"/>
      <protection locked="0"/>
    </xf>
    <xf numFmtId="14" fontId="28" fillId="0" borderId="23" xfId="0" applyNumberFormat="1" applyFont="1" applyBorder="1" applyAlignment="1" applyProtection="1">
      <alignment horizontal="left" vertical="top"/>
      <protection locked="0"/>
    </xf>
    <xf numFmtId="0" fontId="28" fillId="0" borderId="23" xfId="0" applyFont="1" applyBorder="1" applyAlignment="1" applyProtection="1">
      <alignment horizontal="left" vertical="center"/>
      <protection locked="0"/>
    </xf>
    <xf numFmtId="0" fontId="44" fillId="16" borderId="0" xfId="1" applyNumberFormat="1" applyFont="1" applyFill="1" applyBorder="1" applyAlignment="1">
      <alignment horizontal="right"/>
    </xf>
    <xf numFmtId="178" fontId="44" fillId="16" borderId="0" xfId="1" applyNumberFormat="1" applyFont="1" applyFill="1" applyBorder="1" applyAlignment="1">
      <alignment horizontal="right"/>
    </xf>
    <xf numFmtId="0" fontId="45" fillId="16" borderId="0" xfId="1" applyNumberFormat="1" applyFont="1" applyFill="1" applyBorder="1" applyAlignment="1"/>
    <xf numFmtId="0" fontId="45" fillId="16" borderId="0" xfId="1" applyNumberFormat="1" applyFont="1" applyFill="1" applyBorder="1" applyAlignment="1">
      <alignment horizontal="right"/>
    </xf>
    <xf numFmtId="0" fontId="28" fillId="0" borderId="0" xfId="0" applyFont="1" applyAlignment="1">
      <alignment horizontal="left" vertical="center"/>
    </xf>
    <xf numFmtId="0" fontId="28" fillId="0" borderId="4" xfId="0" applyFont="1" applyBorder="1" applyAlignment="1" applyProtection="1">
      <alignment horizontal="left" vertical="center"/>
      <protection locked="0"/>
    </xf>
    <xf numFmtId="0" fontId="39" fillId="16" borderId="0" xfId="0" applyFont="1" applyFill="1" applyAlignment="1">
      <alignment horizontal="left" vertical="top"/>
    </xf>
    <xf numFmtId="0" fontId="39" fillId="16" borderId="0" xfId="0" applyFont="1" applyFill="1" applyAlignment="1">
      <alignment horizontal="left" vertical="center"/>
    </xf>
    <xf numFmtId="0" fontId="40" fillId="16" borderId="0" xfId="0" applyFont="1" applyFill="1" applyAlignment="1">
      <alignment horizontal="left" vertical="top"/>
    </xf>
    <xf numFmtId="0" fontId="41" fillId="16" borderId="0" xfId="0" applyFont="1" applyFill="1" applyAlignment="1">
      <alignment vertical="center"/>
    </xf>
    <xf numFmtId="14" fontId="41" fillId="16" borderId="0" xfId="0" applyNumberFormat="1" applyFont="1" applyFill="1" applyAlignment="1">
      <alignment vertical="top"/>
    </xf>
    <xf numFmtId="14" fontId="42" fillId="16" borderId="0" xfId="0" applyNumberFormat="1" applyFont="1" applyFill="1" applyAlignment="1">
      <alignment horizontal="left" vertical="top" wrapText="1"/>
    </xf>
    <xf numFmtId="178" fontId="43" fillId="16" borderId="0" xfId="0" applyNumberFormat="1" applyFont="1" applyFill="1" applyAlignment="1">
      <alignment horizontal="center" vertical="top"/>
    </xf>
    <xf numFmtId="178" fontId="39" fillId="16" borderId="0" xfId="0" applyNumberFormat="1" applyFont="1" applyFill="1" applyAlignment="1">
      <alignment horizontal="center" vertical="top"/>
    </xf>
    <xf numFmtId="178" fontId="41" fillId="16" borderId="0" xfId="0" applyNumberFormat="1" applyFont="1" applyFill="1" applyAlignment="1">
      <alignment horizontal="center" vertical="top"/>
    </xf>
    <xf numFmtId="14" fontId="41" fillId="16" borderId="0" xfId="0" applyNumberFormat="1" applyFont="1" applyFill="1" applyAlignment="1">
      <alignment horizontal="center" vertical="top"/>
    </xf>
    <xf numFmtId="1" fontId="41" fillId="16" borderId="0" xfId="0" applyNumberFormat="1" applyFont="1" applyFill="1" applyAlignment="1">
      <alignment horizontal="center" vertical="top"/>
    </xf>
    <xf numFmtId="0" fontId="28" fillId="16" borderId="0" xfId="0" applyFont="1" applyFill="1" applyAlignment="1">
      <alignment horizontal="left" vertical="center"/>
    </xf>
    <xf numFmtId="0" fontId="39" fillId="16" borderId="0" xfId="0" applyFont="1" applyFill="1" applyAlignment="1">
      <alignment horizontal="left"/>
    </xf>
    <xf numFmtId="0" fontId="40" fillId="16" borderId="0" xfId="0" applyFont="1" applyFill="1" applyAlignment="1">
      <alignment horizontal="left"/>
    </xf>
    <xf numFmtId="10" fontId="44" fillId="16" borderId="0" xfId="0" applyNumberFormat="1" applyFont="1" applyFill="1" applyAlignment="1">
      <alignment horizontal="right"/>
    </xf>
    <xf numFmtId="0" fontId="12" fillId="16" borderId="0" xfId="1" applyFill="1" applyAlignment="1">
      <alignment horizontal="left" vertical="center"/>
    </xf>
    <xf numFmtId="0" fontId="41" fillId="16" borderId="0" xfId="0" applyFont="1" applyFill="1" applyAlignment="1">
      <alignment horizontal="left" vertical="center"/>
    </xf>
    <xf numFmtId="0" fontId="50" fillId="16" borderId="0" xfId="1" applyFont="1" applyFill="1" applyAlignment="1">
      <alignment horizontal="left" vertical="center"/>
    </xf>
    <xf numFmtId="0" fontId="28" fillId="0" borderId="24" xfId="0" applyFont="1" applyBorder="1" applyAlignment="1" applyProtection="1">
      <alignment horizontal="left" vertical="center"/>
      <protection locked="0"/>
    </xf>
    <xf numFmtId="14" fontId="53" fillId="18" borderId="25" xfId="0" applyNumberFormat="1" applyFont="1" applyFill="1" applyBorder="1" applyAlignment="1">
      <alignment horizontal="center" vertical="center"/>
    </xf>
    <xf numFmtId="14" fontId="53" fillId="18" borderId="26" xfId="0" applyNumberFormat="1" applyFont="1" applyFill="1" applyBorder="1" applyAlignment="1">
      <alignment horizontal="center" vertical="center"/>
    </xf>
    <xf numFmtId="0" fontId="28" fillId="0" borderId="28" xfId="0" applyFont="1" applyBorder="1" applyAlignment="1" applyProtection="1">
      <alignment horizontal="left" vertical="center"/>
      <protection locked="0"/>
    </xf>
    <xf numFmtId="0" fontId="28" fillId="0" borderId="29" xfId="0" applyFont="1" applyBorder="1" applyAlignment="1" applyProtection="1">
      <alignment horizontal="left" vertical="center"/>
      <protection locked="0"/>
    </xf>
    <xf numFmtId="0" fontId="67" fillId="0" borderId="0" xfId="0" applyFont="1" applyAlignment="1">
      <alignment horizontal="left" vertical="center"/>
    </xf>
    <xf numFmtId="0" fontId="43" fillId="16" borderId="0" xfId="1" applyFont="1" applyFill="1" applyBorder="1" applyAlignment="1">
      <alignment vertical="top" wrapText="1"/>
    </xf>
    <xf numFmtId="0" fontId="43" fillId="16" borderId="0" xfId="1" applyFont="1" applyFill="1" applyBorder="1" applyAlignment="1">
      <alignment vertical="top"/>
    </xf>
    <xf numFmtId="0" fontId="40" fillId="16" borderId="0" xfId="1" applyFont="1" applyFill="1" applyBorder="1" applyAlignment="1">
      <alignment horizontal="right" vertical="top"/>
    </xf>
    <xf numFmtId="0" fontId="40" fillId="16" borderId="0" xfId="1" applyFont="1" applyFill="1" applyBorder="1" applyAlignment="1">
      <alignment horizontal="right" vertical="center"/>
    </xf>
    <xf numFmtId="10" fontId="28" fillId="22" borderId="23" xfId="2" applyNumberFormat="1" applyFont="1" applyFill="1" applyBorder="1" applyAlignment="1" applyProtection="1">
      <alignment horizontal="right" vertical="top"/>
      <protection locked="0"/>
    </xf>
    <xf numFmtId="10" fontId="49" fillId="22" borderId="23" xfId="2" applyNumberFormat="1" applyFont="1" applyFill="1" applyBorder="1" applyAlignment="1" applyProtection="1">
      <alignment horizontal="right" vertical="top"/>
      <protection locked="0"/>
    </xf>
    <xf numFmtId="0" fontId="28" fillId="0" borderId="30" xfId="0" applyFont="1" applyBorder="1" applyAlignment="1" applyProtection="1">
      <alignment vertical="top"/>
      <protection locked="0"/>
    </xf>
    <xf numFmtId="0" fontId="28" fillId="0" borderId="30" xfId="0" applyFont="1" applyBorder="1" applyAlignment="1" applyProtection="1">
      <alignment horizontal="center" vertical="top"/>
      <protection locked="0"/>
    </xf>
    <xf numFmtId="0" fontId="28" fillId="0" borderId="30" xfId="0" applyFont="1" applyBorder="1" applyAlignment="1" applyProtection="1">
      <alignment horizontal="left" vertical="top"/>
      <protection locked="0"/>
    </xf>
    <xf numFmtId="14" fontId="28" fillId="0" borderId="30" xfId="0" applyNumberFormat="1" applyFont="1" applyBorder="1" applyAlignment="1" applyProtection="1">
      <alignment horizontal="center" vertical="top"/>
      <protection locked="0"/>
    </xf>
    <xf numFmtId="178" fontId="28" fillId="0" borderId="30" xfId="0" applyNumberFormat="1" applyFont="1" applyBorder="1" applyAlignment="1" applyProtection="1">
      <alignment horizontal="center" vertical="top"/>
      <protection locked="0"/>
    </xf>
    <xf numFmtId="177" fontId="28" fillId="0" borderId="30" xfId="0" applyNumberFormat="1" applyFont="1" applyBorder="1" applyAlignment="1" applyProtection="1">
      <alignment horizontal="center" vertical="top"/>
      <protection locked="0"/>
    </xf>
    <xf numFmtId="1" fontId="28" fillId="0" borderId="30" xfId="0" applyNumberFormat="1" applyFont="1" applyBorder="1" applyAlignment="1" applyProtection="1">
      <alignment horizontal="center" vertical="top"/>
      <protection locked="0"/>
    </xf>
    <xf numFmtId="14" fontId="28" fillId="0" borderId="30" xfId="0" applyNumberFormat="1" applyFont="1" applyBorder="1" applyAlignment="1" applyProtection="1">
      <alignment horizontal="left" vertical="top"/>
      <protection locked="0"/>
    </xf>
    <xf numFmtId="10" fontId="28" fillId="0" borderId="30" xfId="0" applyNumberFormat="1" applyFont="1" applyBorder="1" applyAlignment="1" applyProtection="1">
      <alignment horizontal="right" vertical="top" wrapText="1"/>
      <protection locked="0"/>
    </xf>
    <xf numFmtId="10" fontId="28" fillId="0" borderId="30" xfId="0" applyNumberFormat="1" applyFont="1" applyBorder="1" applyAlignment="1" applyProtection="1">
      <alignment horizontal="right" vertical="top"/>
      <protection locked="0"/>
    </xf>
    <xf numFmtId="14" fontId="17" fillId="0" borderId="10" xfId="0" applyNumberFormat="1" applyFont="1" applyBorder="1"/>
    <xf numFmtId="0" fontId="17" fillId="0" borderId="10" xfId="0" applyFont="1" applyBorder="1"/>
    <xf numFmtId="14" fontId="17" fillId="0" borderId="31" xfId="0" applyNumberFormat="1" applyFont="1" applyBorder="1"/>
    <xf numFmtId="0" fontId="17" fillId="0" borderId="31" xfId="0" applyFont="1" applyBorder="1"/>
    <xf numFmtId="14" fontId="71" fillId="0" borderId="23" xfId="0" applyNumberFormat="1" applyFont="1" applyBorder="1" applyAlignment="1">
      <alignment horizontal="center" vertical="center" wrapText="1" readingOrder="1"/>
    </xf>
    <xf numFmtId="10" fontId="49" fillId="16" borderId="23" xfId="2" applyNumberFormat="1" applyFont="1" applyFill="1" applyBorder="1" applyAlignment="1" applyProtection="1">
      <alignment horizontal="right" vertical="top"/>
      <protection locked="0"/>
    </xf>
    <xf numFmtId="0" fontId="53" fillId="18" borderId="27" xfId="0" applyFont="1" applyFill="1" applyBorder="1" applyAlignment="1">
      <alignment horizontal="left" vertical="center"/>
    </xf>
    <xf numFmtId="0" fontId="17" fillId="0" borderId="18" xfId="0" applyFont="1" applyBorder="1" applyAlignment="1" applyProtection="1">
      <alignment horizontal="left" vertical="top" wrapText="1"/>
      <protection locked="0"/>
    </xf>
    <xf numFmtId="0" fontId="37" fillId="14" borderId="0" xfId="0" applyFont="1" applyFill="1" applyAlignment="1">
      <alignment horizontal="left" vertical="top" wrapText="1"/>
    </xf>
    <xf numFmtId="0" fontId="47" fillId="19" borderId="22" xfId="1" applyFont="1" applyFill="1" applyBorder="1" applyAlignment="1">
      <alignment vertical="center"/>
    </xf>
    <xf numFmtId="0" fontId="0" fillId="19" borderId="22" xfId="0" applyFill="1" applyBorder="1" applyAlignment="1">
      <alignment vertical="center"/>
    </xf>
    <xf numFmtId="0" fontId="38" fillId="19" borderId="19" xfId="0" applyFont="1" applyFill="1" applyBorder="1" applyAlignment="1">
      <alignment horizontal="center" vertical="center"/>
    </xf>
    <xf numFmtId="0" fontId="38" fillId="19" borderId="20" xfId="0" applyFont="1" applyFill="1" applyBorder="1" applyAlignment="1">
      <alignment horizontal="center" vertical="center"/>
    </xf>
    <xf numFmtId="0" fontId="38" fillId="19" borderId="21" xfId="0" applyFont="1" applyFill="1" applyBorder="1" applyAlignment="1">
      <alignment horizontal="center" vertical="center"/>
    </xf>
    <xf numFmtId="0" fontId="38" fillId="19" borderId="22" xfId="0" applyFont="1" applyFill="1" applyBorder="1" applyAlignment="1">
      <alignment horizontal="center" vertical="center"/>
    </xf>
    <xf numFmtId="0" fontId="54" fillId="19" borderId="20" xfId="1" applyFont="1" applyFill="1" applyBorder="1" applyAlignment="1">
      <alignment horizontal="right"/>
    </xf>
    <xf numFmtId="0" fontId="0" fillId="19" borderId="20" xfId="0" applyFill="1" applyBorder="1" applyAlignment="1">
      <alignment horizontal="right"/>
    </xf>
    <xf numFmtId="0" fontId="61" fillId="0" borderId="0" xfId="0" applyFont="1" applyAlignment="1">
      <alignment horizontal="left" vertical="top" wrapText="1"/>
    </xf>
    <xf numFmtId="0" fontId="31" fillId="0" borderId="0" xfId="0" applyFont="1" applyAlignment="1">
      <alignment horizontal="left" vertical="top" wrapText="1"/>
    </xf>
    <xf numFmtId="0" fontId="17" fillId="0" borderId="18" xfId="0" applyFont="1" applyBorder="1" applyAlignment="1" applyProtection="1">
      <alignment horizontal="left" vertical="center" wrapText="1"/>
      <protection locked="0"/>
    </xf>
    <xf numFmtId="0" fontId="52" fillId="18" borderId="26" xfId="0" applyFont="1" applyFill="1" applyBorder="1" applyAlignment="1">
      <alignment horizontal="left" vertical="center" wrapText="1"/>
    </xf>
    <xf numFmtId="0" fontId="52" fillId="18" borderId="26" xfId="0" applyFont="1" applyFill="1" applyBorder="1" applyAlignment="1">
      <alignment horizontal="left" vertical="center"/>
    </xf>
    <xf numFmtId="0" fontId="52" fillId="18" borderId="27" xfId="0" applyFont="1" applyFill="1" applyBorder="1" applyAlignment="1">
      <alignment horizontal="left" vertical="center"/>
    </xf>
    <xf numFmtId="0" fontId="51" fillId="16" borderId="0" xfId="0" applyFont="1" applyFill="1" applyAlignment="1">
      <alignment horizontal="left" vertical="center"/>
    </xf>
    <xf numFmtId="0" fontId="52" fillId="18" borderId="25" xfId="0" applyFont="1" applyFill="1" applyBorder="1" applyAlignment="1">
      <alignment horizontal="left" vertical="center" wrapText="1"/>
    </xf>
    <xf numFmtId="0" fontId="44" fillId="16" borderId="0" xfId="0" applyFont="1" applyFill="1" applyAlignment="1">
      <alignment horizontal="center" wrapText="1"/>
    </xf>
    <xf numFmtId="176" fontId="27" fillId="8" borderId="2" xfId="0" applyNumberFormat="1" applyFont="1" applyFill="1" applyBorder="1" applyAlignment="1">
      <alignment horizontal="center" vertical="center"/>
    </xf>
    <xf numFmtId="176" fontId="27" fillId="17" borderId="2" xfId="0" applyNumberFormat="1" applyFont="1" applyFill="1" applyBorder="1" applyAlignment="1">
      <alignment horizontal="center" vertical="center"/>
    </xf>
    <xf numFmtId="14" fontId="27" fillId="8" borderId="2" xfId="0" applyNumberFormat="1" applyFont="1" applyFill="1" applyBorder="1" applyAlignment="1">
      <alignment horizontal="center" vertical="center"/>
    </xf>
    <xf numFmtId="14" fontId="27" fillId="17" borderId="2" xfId="0" applyNumberFormat="1" applyFont="1" applyFill="1" applyBorder="1" applyAlignment="1">
      <alignment horizontal="center" vertical="center"/>
    </xf>
    <xf numFmtId="0" fontId="27" fillId="8" borderId="2" xfId="0" applyFont="1" applyFill="1" applyBorder="1" applyAlignment="1">
      <alignment horizontal="center" vertical="center"/>
    </xf>
    <xf numFmtId="0" fontId="27" fillId="17" borderId="2" xfId="0" applyFont="1" applyFill="1" applyBorder="1" applyAlignment="1">
      <alignment horizontal="center" vertical="center"/>
    </xf>
    <xf numFmtId="178" fontId="27" fillId="18" borderId="2" xfId="0" applyNumberFormat="1" applyFont="1" applyFill="1" applyBorder="1" applyAlignment="1">
      <alignment horizontal="center" vertical="center" wrapText="1"/>
    </xf>
    <xf numFmtId="178" fontId="27" fillId="10" borderId="2" xfId="0" applyNumberFormat="1" applyFont="1" applyFill="1" applyBorder="1" applyAlignment="1">
      <alignment horizontal="center" vertical="center" wrapText="1"/>
    </xf>
    <xf numFmtId="177" fontId="27" fillId="18" borderId="2" xfId="0" applyNumberFormat="1" applyFont="1" applyFill="1" applyBorder="1" applyAlignment="1">
      <alignment horizontal="center" vertical="center" wrapText="1"/>
    </xf>
    <xf numFmtId="177" fontId="27" fillId="17" borderId="2" xfId="0" applyNumberFormat="1" applyFont="1" applyFill="1" applyBorder="1" applyAlignment="1">
      <alignment horizontal="center" vertical="center" wrapText="1"/>
    </xf>
    <xf numFmtId="1" fontId="27" fillId="18" borderId="2" xfId="0" applyNumberFormat="1" applyFont="1" applyFill="1" applyBorder="1" applyAlignment="1">
      <alignment horizontal="center" vertical="center" wrapText="1"/>
    </xf>
    <xf numFmtId="1" fontId="27" fillId="17" borderId="2" xfId="0" applyNumberFormat="1" applyFont="1" applyFill="1" applyBorder="1" applyAlignment="1">
      <alignment horizontal="center" vertical="center" wrapText="1"/>
    </xf>
    <xf numFmtId="178" fontId="27" fillId="18" borderId="2" xfId="0" applyNumberFormat="1" applyFont="1" applyFill="1" applyBorder="1" applyAlignment="1">
      <alignment horizontal="center" vertical="top" wrapText="1"/>
    </xf>
    <xf numFmtId="178" fontId="27" fillId="10" borderId="2" xfId="0" applyNumberFormat="1" applyFont="1" applyFill="1" applyBorder="1" applyAlignment="1">
      <alignment horizontal="center" vertical="top" wrapText="1"/>
    </xf>
    <xf numFmtId="0" fontId="27" fillId="15" borderId="1" xfId="0" applyFont="1" applyFill="1" applyBorder="1" applyAlignment="1">
      <alignment horizontal="center" vertical="center" wrapText="1"/>
    </xf>
    <xf numFmtId="0" fontId="27" fillId="15" borderId="0" xfId="0" applyFont="1" applyFill="1" applyAlignment="1">
      <alignment horizontal="center" vertical="center" wrapText="1"/>
    </xf>
    <xf numFmtId="0" fontId="27" fillId="15" borderId="2" xfId="0" applyFont="1" applyFill="1" applyBorder="1" applyAlignment="1">
      <alignment horizontal="center" vertical="center"/>
    </xf>
    <xf numFmtId="0" fontId="27" fillId="15" borderId="16" xfId="0" applyFont="1" applyFill="1" applyBorder="1" applyAlignment="1">
      <alignment horizontal="center" vertical="center"/>
    </xf>
    <xf numFmtId="0" fontId="27" fillId="15" borderId="2" xfId="0" applyFont="1" applyFill="1" applyBorder="1" applyAlignment="1">
      <alignment horizontal="center" vertical="center" wrapText="1"/>
    </xf>
    <xf numFmtId="0" fontId="27" fillId="18" borderId="2" xfId="0" applyFont="1" applyFill="1" applyBorder="1" applyAlignment="1">
      <alignment horizontal="center" vertical="center"/>
    </xf>
    <xf numFmtId="0" fontId="27" fillId="8" borderId="3" xfId="0" applyFont="1" applyFill="1" applyBorder="1" applyAlignment="1">
      <alignment horizontal="center" vertical="center"/>
    </xf>
    <xf numFmtId="0" fontId="27" fillId="17" borderId="0" xfId="0" applyFont="1" applyFill="1" applyAlignment="1">
      <alignment horizontal="center" vertical="center"/>
    </xf>
    <xf numFmtId="0" fontId="27" fillId="17" borderId="3" xfId="0" applyFont="1" applyFill="1" applyBorder="1" applyAlignment="1">
      <alignment horizontal="center" vertical="center"/>
    </xf>
    <xf numFmtId="14" fontId="27" fillId="8" borderId="2" xfId="0" applyNumberFormat="1" applyFont="1" applyFill="1" applyBorder="1" applyAlignment="1">
      <alignment horizontal="center" vertical="center" wrapText="1"/>
    </xf>
    <xf numFmtId="10" fontId="27" fillId="8" borderId="3" xfId="0" applyNumberFormat="1" applyFont="1" applyFill="1" applyBorder="1" applyAlignment="1">
      <alignment horizontal="center" vertical="center" wrapText="1"/>
    </xf>
    <xf numFmtId="10" fontId="27" fillId="17" borderId="3" xfId="0" applyNumberFormat="1" applyFont="1" applyFill="1" applyBorder="1" applyAlignment="1">
      <alignment horizontal="center" vertical="center" wrapText="1"/>
    </xf>
    <xf numFmtId="10" fontId="27" fillId="18" borderId="2" xfId="0" applyNumberFormat="1" applyFont="1" applyFill="1" applyBorder="1" applyAlignment="1">
      <alignment horizontal="center" vertical="center" wrapText="1"/>
    </xf>
    <xf numFmtId="10" fontId="27" fillId="10" borderId="2" xfId="0" applyNumberFormat="1" applyFont="1" applyFill="1" applyBorder="1" applyAlignment="1">
      <alignment horizontal="center" vertical="center" wrapText="1"/>
    </xf>
    <xf numFmtId="0" fontId="18" fillId="0" borderId="0" xfId="0" applyFont="1" applyAlignment="1" applyProtection="1">
      <alignment horizontal="left" vertical="center" wrapText="1"/>
      <protection locked="0"/>
    </xf>
    <xf numFmtId="0" fontId="18" fillId="0" borderId="0" xfId="0" applyFont="1" applyAlignment="1" applyProtection="1">
      <alignment horizontal="left" vertical="center"/>
      <protection locked="0"/>
    </xf>
    <xf numFmtId="0" fontId="15" fillId="0" borderId="0" xfId="0" applyFont="1" applyAlignment="1">
      <alignment horizontal="left" vertical="center"/>
    </xf>
    <xf numFmtId="0" fontId="14" fillId="0" borderId="0" xfId="0" applyFont="1" applyAlignment="1">
      <alignment horizontal="left" vertical="center"/>
    </xf>
    <xf numFmtId="14" fontId="19" fillId="2" borderId="0" xfId="0" applyNumberFormat="1" applyFont="1" applyFill="1" applyAlignment="1">
      <alignment horizontal="right" vertical="center"/>
    </xf>
    <xf numFmtId="0" fontId="30" fillId="0" borderId="0" xfId="0" applyFont="1" applyAlignment="1" applyProtection="1">
      <alignment horizontal="left" vertical="center" wrapText="1"/>
      <protection locked="0"/>
    </xf>
    <xf numFmtId="14" fontId="17" fillId="2" borderId="0" xfId="0" applyNumberFormat="1" applyFont="1" applyFill="1" applyAlignment="1">
      <alignment horizontal="left" vertical="top" wrapText="1"/>
    </xf>
    <xf numFmtId="14" fontId="22" fillId="6" borderId="14" xfId="0" applyNumberFormat="1" applyFont="1" applyFill="1" applyBorder="1" applyAlignment="1" applyProtection="1">
      <alignment horizontal="center" vertical="center"/>
      <protection locked="0"/>
    </xf>
    <xf numFmtId="10" fontId="28" fillId="0" borderId="23" xfId="2" applyNumberFormat="1" applyFont="1" applyFill="1" applyBorder="1" applyAlignment="1" applyProtection="1">
      <alignment horizontal="right" vertical="top"/>
      <protection locked="0"/>
    </xf>
    <xf numFmtId="0" fontId="17" fillId="0" borderId="0" xfId="0" applyFont="1" applyBorder="1"/>
    <xf numFmtId="10" fontId="17" fillId="0" borderId="0" xfId="0" applyNumberFormat="1" applyFont="1" applyBorder="1"/>
    <xf numFmtId="0" fontId="15" fillId="0" borderId="0" xfId="0" applyFont="1" applyFill="1" applyBorder="1" applyAlignment="1">
      <alignment vertical="center"/>
    </xf>
    <xf numFmtId="0" fontId="17" fillId="0" borderId="0" xfId="0" applyNumberFormat="1" applyFont="1" applyAlignment="1" applyProtection="1">
      <alignment horizontal="center"/>
      <protection locked="0"/>
    </xf>
    <xf numFmtId="0" fontId="17" fillId="0" borderId="0" xfId="0" applyNumberFormat="1" applyFont="1" applyAlignment="1" applyProtection="1">
      <alignment horizontal="left"/>
      <protection locked="0"/>
    </xf>
    <xf numFmtId="0" fontId="17" fillId="0" borderId="7" xfId="0" applyFont="1" applyBorder="1"/>
    <xf numFmtId="2" fontId="17" fillId="0" borderId="0" xfId="0" applyNumberFormat="1" applyFont="1" applyBorder="1"/>
    <xf numFmtId="10" fontId="17" fillId="0" borderId="0" xfId="0" applyNumberFormat="1" applyFont="1" applyBorder="1"/>
    <xf numFmtId="10" fontId="17" fillId="5" borderId="3" xfId="0" applyNumberFormat="1" applyFont="1" applyFill="1" applyBorder="1" applyAlignment="1">
      <alignment horizontal="left" wrapText="1"/>
    </xf>
    <xf numFmtId="2" fontId="17" fillId="0" borderId="10" xfId="0" applyNumberFormat="1" applyFont="1" applyBorder="1"/>
    <xf numFmtId="10" fontId="72" fillId="0" borderId="10" xfId="0" applyNumberFormat="1" applyFont="1" applyBorder="1"/>
    <xf numFmtId="2" fontId="17" fillId="0" borderId="31" xfId="0" applyNumberFormat="1" applyFont="1" applyBorder="1"/>
    <xf numFmtId="10" fontId="72" fillId="0" borderId="31" xfId="0" applyNumberFormat="1" applyFont="1" applyBorder="1"/>
  </cellXfs>
  <cellStyles count="40">
    <cellStyle name="강조색5 2" xfId="3" xr:uid="{00000000-0005-0000-0000-000000000000}"/>
    <cellStyle name="백분율" xfId="2" builtinId="5"/>
    <cellStyle name="백분율 2" xfId="4" xr:uid="{00000000-0005-0000-0000-000002000000}"/>
    <cellStyle name="표준" xfId="0" builtinId="0"/>
    <cellStyle name="표준 2" xfId="5" xr:uid="{00000000-0005-0000-0000-000004000000}"/>
    <cellStyle name="표준 2 2" xfId="6" xr:uid="{00000000-0005-0000-0000-000005000000}"/>
    <cellStyle name="표준 3" xfId="7" xr:uid="{253AFB82-DA96-492D-920B-7C868FF84936}"/>
    <cellStyle name="표준 3 10" xfId="39" xr:uid="{36D45639-E06D-4A2D-A27A-67991B588603}"/>
    <cellStyle name="표준 3 2" xfId="8" xr:uid="{275F6E24-BC21-434A-8394-DBAFC536D5DE}"/>
    <cellStyle name="표준 3 2 2" xfId="10" xr:uid="{992A0E25-32F5-4B19-9A1A-ADE94B69DC0C}"/>
    <cellStyle name="표준 3 2 2 2" xfId="18" xr:uid="{EF616C1E-4716-4BC7-A5CD-FD77318EA031}"/>
    <cellStyle name="표준 3 2 2 2 2" xfId="34" xr:uid="{FBC06B1F-1641-4493-A7E7-BCA53B86D0EF}"/>
    <cellStyle name="표준 3 2 2 3" xfId="22" xr:uid="{E7182ED9-DA7A-4968-986F-8640F51A57CB}"/>
    <cellStyle name="표준 3 2 2 3 2" xfId="38" xr:uid="{8A096F00-2445-4102-B8A8-CD3540FDBE1A}"/>
    <cellStyle name="표준 3 2 2 4" xfId="26" xr:uid="{85F89F48-8390-40CC-A1AC-65469983B9D0}"/>
    <cellStyle name="표준 3 2 3" xfId="12" xr:uid="{8FAC9EBE-F980-4F02-B917-0F6B8D5BE7FF}"/>
    <cellStyle name="표준 3 2 3 2" xfId="28" xr:uid="{1C064AC9-3E45-4593-8F3A-A9FB89ACAA51}"/>
    <cellStyle name="표준 3 2 4" xfId="16" xr:uid="{83B5AF2F-E9AD-432A-A815-D66384363AF8}"/>
    <cellStyle name="표준 3 2 4 2" xfId="32" xr:uid="{26E11640-223F-4806-B108-E3FAA5A4A8FD}"/>
    <cellStyle name="표준 3 2 5" xfId="20" xr:uid="{60FA8CD9-D0F7-44AF-97A4-1FCBF14CFEC1}"/>
    <cellStyle name="표준 3 2 5 2" xfId="36" xr:uid="{19314D52-59FE-45C2-BCE6-4D7574206301}"/>
    <cellStyle name="표준 3 2 6" xfId="24" xr:uid="{96367A73-07E6-4E86-8AAF-C6F0EE64BE84}"/>
    <cellStyle name="표준 3 3" xfId="9" xr:uid="{66A7B934-A58A-4A5B-89A3-8616985A4CC6}"/>
    <cellStyle name="표준 3 3 2" xfId="17" xr:uid="{E0AC6F39-3464-4A18-B7C3-9C49CE095275}"/>
    <cellStyle name="표준 3 3 2 2" xfId="33" xr:uid="{74D053E1-E5BB-4507-91AF-491E6AD374DB}"/>
    <cellStyle name="표준 3 3 3" xfId="21" xr:uid="{A2083758-BDA8-45FE-B8AA-D7847D467ADB}"/>
    <cellStyle name="표준 3 3 3 2" xfId="37" xr:uid="{DC882817-C1B3-4F25-A864-127C30B2DB3A}"/>
    <cellStyle name="표준 3 3 4" xfId="25" xr:uid="{FD47F81D-9B88-4C91-959B-4D00BD8FE9B0}"/>
    <cellStyle name="표준 3 4" xfId="11" xr:uid="{6029570F-1621-4454-B697-C874FC6A0ABE}"/>
    <cellStyle name="표준 3 4 2" xfId="27" xr:uid="{5B0B2935-DC06-43C8-81DF-083102BA4057}"/>
    <cellStyle name="표준 3 5" xfId="13" xr:uid="{52567007-83EF-483C-A9AD-AC42565EA644}"/>
    <cellStyle name="표준 3 5 2" xfId="29" xr:uid="{B7738AF4-E5C2-441E-BB3C-6466DC61AFD5}"/>
    <cellStyle name="표준 3 6" xfId="14" xr:uid="{7E2FEEAF-A0A4-459A-A2C5-6FD685680316}"/>
    <cellStyle name="표준 3 6 2" xfId="30" xr:uid="{B30FB05E-FF35-4550-9EE0-9A2CADE45ABA}"/>
    <cellStyle name="표준 3 7" xfId="15" xr:uid="{9C244ADE-5B7F-443C-964B-B1B5BB043D68}"/>
    <cellStyle name="표준 3 7 2" xfId="31" xr:uid="{1FA3BDBA-E6ED-400D-B27B-F65C13D3000A}"/>
    <cellStyle name="표준 3 8" xfId="19" xr:uid="{44C82C70-44E0-4B13-9E94-9EA72D5E0E73}"/>
    <cellStyle name="표준 3 8 2" xfId="35" xr:uid="{B0B77EEB-7507-40D2-A482-4118E45D3DAE}"/>
    <cellStyle name="표준 3 9" xfId="23" xr:uid="{135FD540-C37E-4B80-A12A-E45092ED65AE}"/>
    <cellStyle name="하이퍼링크" xfId="1" builtinId="8"/>
  </cellStyles>
  <dxfs count="5">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s>
  <tableStyles count="1" defaultTableStyle="TableStyleMedium2" defaultPivotStyle="PivotStyleLight16">
    <tableStyle name="Invisible" pivot="0" table="0" count="0" xr9:uid="{00000000-0011-0000-FFFF-FFFF00000000}"/>
  </tableStyles>
  <colors>
    <mruColors>
      <color rgb="FFFF8800"/>
      <color rgb="FFFF6600"/>
      <color rgb="FF0000FF"/>
      <color rgb="FF009900"/>
      <color rgb="FF11EFAA"/>
      <color rgb="FFF8F8F8"/>
      <color rgb="FFFF3300"/>
      <color rgb="FFFF0000"/>
      <color rgb="FF2592FF"/>
      <color rgb="FF66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3</xdr:col>
      <xdr:colOff>12700</xdr:colOff>
      <xdr:row>0</xdr:row>
      <xdr:rowOff>12700</xdr:rowOff>
    </xdr:from>
    <xdr:to>
      <xdr:col>3</xdr:col>
      <xdr:colOff>12700</xdr:colOff>
      <xdr:row>0</xdr:row>
      <xdr:rowOff>12700</xdr:rowOff>
    </xdr:to>
    <xdr:cxnSp macro="">
      <xdr:nvCxnSpPr>
        <xdr:cNvPr id="143" name="연결선: 꺾임 142">
          <a:extLst>
            <a:ext uri="{FF2B5EF4-FFF2-40B4-BE49-F238E27FC236}">
              <a16:creationId xmlns:a16="http://schemas.microsoft.com/office/drawing/2014/main" id="{00000000-0008-0000-0100-00008F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4" name="연결선: 꺾임 143">
          <a:extLst>
            <a:ext uri="{FF2B5EF4-FFF2-40B4-BE49-F238E27FC236}">
              <a16:creationId xmlns:a16="http://schemas.microsoft.com/office/drawing/2014/main" id="{00000000-0008-0000-0100-000090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5" name="연결선: 꺾임 144">
          <a:extLst>
            <a:ext uri="{FF2B5EF4-FFF2-40B4-BE49-F238E27FC236}">
              <a16:creationId xmlns:a16="http://schemas.microsoft.com/office/drawing/2014/main" id="{00000000-0008-0000-0100-000091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6" name="연결선: 꺾임 145">
          <a:extLst>
            <a:ext uri="{FF2B5EF4-FFF2-40B4-BE49-F238E27FC236}">
              <a16:creationId xmlns:a16="http://schemas.microsoft.com/office/drawing/2014/main" id="{00000000-0008-0000-0100-000092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7" name="연결선: 꺾임 146">
          <a:extLst>
            <a:ext uri="{FF2B5EF4-FFF2-40B4-BE49-F238E27FC236}">
              <a16:creationId xmlns:a16="http://schemas.microsoft.com/office/drawing/2014/main" id="{00000000-0008-0000-0100-000093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8" name="연결선: 꺾임 147">
          <a:extLst>
            <a:ext uri="{FF2B5EF4-FFF2-40B4-BE49-F238E27FC236}">
              <a16:creationId xmlns:a16="http://schemas.microsoft.com/office/drawing/2014/main" id="{00000000-0008-0000-0100-000094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9" name="연결선: 꺾임 148">
          <a:extLst>
            <a:ext uri="{FF2B5EF4-FFF2-40B4-BE49-F238E27FC236}">
              <a16:creationId xmlns:a16="http://schemas.microsoft.com/office/drawing/2014/main" id="{00000000-0008-0000-0100-000095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0" name="연결선: 꺾임 149">
          <a:extLst>
            <a:ext uri="{FF2B5EF4-FFF2-40B4-BE49-F238E27FC236}">
              <a16:creationId xmlns:a16="http://schemas.microsoft.com/office/drawing/2014/main" id="{00000000-0008-0000-0100-000096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1" name="연결선: 꺾임 150">
          <a:extLst>
            <a:ext uri="{FF2B5EF4-FFF2-40B4-BE49-F238E27FC236}">
              <a16:creationId xmlns:a16="http://schemas.microsoft.com/office/drawing/2014/main" id="{00000000-0008-0000-0100-000097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2" name="연결선: 꺾임 151">
          <a:extLst>
            <a:ext uri="{FF2B5EF4-FFF2-40B4-BE49-F238E27FC236}">
              <a16:creationId xmlns:a16="http://schemas.microsoft.com/office/drawing/2014/main" id="{00000000-0008-0000-0100-000098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3" name="연결선: 꺾임 152">
          <a:extLst>
            <a:ext uri="{FF2B5EF4-FFF2-40B4-BE49-F238E27FC236}">
              <a16:creationId xmlns:a16="http://schemas.microsoft.com/office/drawing/2014/main" id="{00000000-0008-0000-0100-000099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4" name="연결선: 꺾임 153">
          <a:extLst>
            <a:ext uri="{FF2B5EF4-FFF2-40B4-BE49-F238E27FC236}">
              <a16:creationId xmlns:a16="http://schemas.microsoft.com/office/drawing/2014/main" id="{00000000-0008-0000-0100-00009A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5" name="연결선: 꺾임 154">
          <a:extLst>
            <a:ext uri="{FF2B5EF4-FFF2-40B4-BE49-F238E27FC236}">
              <a16:creationId xmlns:a16="http://schemas.microsoft.com/office/drawing/2014/main" id="{00000000-0008-0000-0100-00009B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6" name="연결선: 꺾임 155">
          <a:extLst>
            <a:ext uri="{FF2B5EF4-FFF2-40B4-BE49-F238E27FC236}">
              <a16:creationId xmlns:a16="http://schemas.microsoft.com/office/drawing/2014/main" id="{00000000-0008-0000-0100-00009C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7" name="연결선: 꺾임 156">
          <a:extLst>
            <a:ext uri="{FF2B5EF4-FFF2-40B4-BE49-F238E27FC236}">
              <a16:creationId xmlns:a16="http://schemas.microsoft.com/office/drawing/2014/main" id="{00000000-0008-0000-0100-00009D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8" name="연결선: 꺾임 157">
          <a:extLst>
            <a:ext uri="{FF2B5EF4-FFF2-40B4-BE49-F238E27FC236}">
              <a16:creationId xmlns:a16="http://schemas.microsoft.com/office/drawing/2014/main" id="{00000000-0008-0000-0100-00009E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9" name="연결선: 꺾임 158">
          <a:extLst>
            <a:ext uri="{FF2B5EF4-FFF2-40B4-BE49-F238E27FC236}">
              <a16:creationId xmlns:a16="http://schemas.microsoft.com/office/drawing/2014/main" id="{00000000-0008-0000-0100-00009F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0" name="연결선: 꺾임 159">
          <a:extLst>
            <a:ext uri="{FF2B5EF4-FFF2-40B4-BE49-F238E27FC236}">
              <a16:creationId xmlns:a16="http://schemas.microsoft.com/office/drawing/2014/main" id="{00000000-0008-0000-0100-0000A0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1" name="연결선: 꺾임 160">
          <a:extLst>
            <a:ext uri="{FF2B5EF4-FFF2-40B4-BE49-F238E27FC236}">
              <a16:creationId xmlns:a16="http://schemas.microsoft.com/office/drawing/2014/main" id="{00000000-0008-0000-0100-0000A1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2" name="연결선: 꺾임 161">
          <a:extLst>
            <a:ext uri="{FF2B5EF4-FFF2-40B4-BE49-F238E27FC236}">
              <a16:creationId xmlns:a16="http://schemas.microsoft.com/office/drawing/2014/main" id="{00000000-0008-0000-0100-0000A2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3" name="연결선: 꺾임 162">
          <a:extLst>
            <a:ext uri="{FF2B5EF4-FFF2-40B4-BE49-F238E27FC236}">
              <a16:creationId xmlns:a16="http://schemas.microsoft.com/office/drawing/2014/main" id="{00000000-0008-0000-0100-0000A3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4" name="연결선: 꺾임 163">
          <a:extLst>
            <a:ext uri="{FF2B5EF4-FFF2-40B4-BE49-F238E27FC236}">
              <a16:creationId xmlns:a16="http://schemas.microsoft.com/office/drawing/2014/main" id="{00000000-0008-0000-0100-0000A4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5" name="연결선: 꺾임 164">
          <a:extLst>
            <a:ext uri="{FF2B5EF4-FFF2-40B4-BE49-F238E27FC236}">
              <a16:creationId xmlns:a16="http://schemas.microsoft.com/office/drawing/2014/main" id="{00000000-0008-0000-0100-0000A5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6" name="연결선: 꺾임 165">
          <a:extLst>
            <a:ext uri="{FF2B5EF4-FFF2-40B4-BE49-F238E27FC236}">
              <a16:creationId xmlns:a16="http://schemas.microsoft.com/office/drawing/2014/main" id="{00000000-0008-0000-0100-0000A6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7" name="연결선: 꺾임 166">
          <a:extLst>
            <a:ext uri="{FF2B5EF4-FFF2-40B4-BE49-F238E27FC236}">
              <a16:creationId xmlns:a16="http://schemas.microsoft.com/office/drawing/2014/main" id="{00000000-0008-0000-0100-0000A7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8" name="연결선: 꺾임 167">
          <a:extLst>
            <a:ext uri="{FF2B5EF4-FFF2-40B4-BE49-F238E27FC236}">
              <a16:creationId xmlns:a16="http://schemas.microsoft.com/office/drawing/2014/main" id="{00000000-0008-0000-0100-0000A8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9" name="연결선: 꺾임 168">
          <a:extLst>
            <a:ext uri="{FF2B5EF4-FFF2-40B4-BE49-F238E27FC236}">
              <a16:creationId xmlns:a16="http://schemas.microsoft.com/office/drawing/2014/main" id="{00000000-0008-0000-0100-0000A9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0" name="연결선: 꺾임 169">
          <a:extLst>
            <a:ext uri="{FF2B5EF4-FFF2-40B4-BE49-F238E27FC236}">
              <a16:creationId xmlns:a16="http://schemas.microsoft.com/office/drawing/2014/main" id="{00000000-0008-0000-0100-0000AA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1" name="연결선: 꺾임 170">
          <a:extLst>
            <a:ext uri="{FF2B5EF4-FFF2-40B4-BE49-F238E27FC236}">
              <a16:creationId xmlns:a16="http://schemas.microsoft.com/office/drawing/2014/main" id="{00000000-0008-0000-0100-0000AB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2" name="연결선: 꺾임 171">
          <a:extLst>
            <a:ext uri="{FF2B5EF4-FFF2-40B4-BE49-F238E27FC236}">
              <a16:creationId xmlns:a16="http://schemas.microsoft.com/office/drawing/2014/main" id="{00000000-0008-0000-0100-0000AC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3" name="연결선: 꺾임 172">
          <a:extLst>
            <a:ext uri="{FF2B5EF4-FFF2-40B4-BE49-F238E27FC236}">
              <a16:creationId xmlns:a16="http://schemas.microsoft.com/office/drawing/2014/main" id="{00000000-0008-0000-0100-0000AD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4" name="연결선: 꺾임 173">
          <a:extLst>
            <a:ext uri="{FF2B5EF4-FFF2-40B4-BE49-F238E27FC236}">
              <a16:creationId xmlns:a16="http://schemas.microsoft.com/office/drawing/2014/main" id="{00000000-0008-0000-0100-0000AE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5" name="연결선: 꺾임 174">
          <a:extLst>
            <a:ext uri="{FF2B5EF4-FFF2-40B4-BE49-F238E27FC236}">
              <a16:creationId xmlns:a16="http://schemas.microsoft.com/office/drawing/2014/main" id="{00000000-0008-0000-0100-0000AF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6" name="연결선: 꺾임 175">
          <a:extLst>
            <a:ext uri="{FF2B5EF4-FFF2-40B4-BE49-F238E27FC236}">
              <a16:creationId xmlns:a16="http://schemas.microsoft.com/office/drawing/2014/main" id="{00000000-0008-0000-0100-0000B0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7" name="연결선: 꺾임 176">
          <a:extLst>
            <a:ext uri="{FF2B5EF4-FFF2-40B4-BE49-F238E27FC236}">
              <a16:creationId xmlns:a16="http://schemas.microsoft.com/office/drawing/2014/main" id="{00000000-0008-0000-0100-0000B1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8" name="연결선: 꺾임 177">
          <a:extLst>
            <a:ext uri="{FF2B5EF4-FFF2-40B4-BE49-F238E27FC236}">
              <a16:creationId xmlns:a16="http://schemas.microsoft.com/office/drawing/2014/main" id="{00000000-0008-0000-0100-0000B2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 name="연결선: 꺾임 178">
          <a:extLst>
            <a:ext uri="{FF2B5EF4-FFF2-40B4-BE49-F238E27FC236}">
              <a16:creationId xmlns:a16="http://schemas.microsoft.com/office/drawing/2014/main" id="{00000000-0008-0000-0100-0000B3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 name="연결선: 꺾임 179">
          <a:extLst>
            <a:ext uri="{FF2B5EF4-FFF2-40B4-BE49-F238E27FC236}">
              <a16:creationId xmlns:a16="http://schemas.microsoft.com/office/drawing/2014/main" id="{00000000-0008-0000-0100-0000B4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 name="연결선: 꺾임 180">
          <a:extLst>
            <a:ext uri="{FF2B5EF4-FFF2-40B4-BE49-F238E27FC236}">
              <a16:creationId xmlns:a16="http://schemas.microsoft.com/office/drawing/2014/main" id="{00000000-0008-0000-0100-0000B5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 name="연결선: 꺾임 181">
          <a:extLst>
            <a:ext uri="{FF2B5EF4-FFF2-40B4-BE49-F238E27FC236}">
              <a16:creationId xmlns:a16="http://schemas.microsoft.com/office/drawing/2014/main" id="{00000000-0008-0000-0100-0000B6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 name="연결선: 꺾임 182">
          <a:extLst>
            <a:ext uri="{FF2B5EF4-FFF2-40B4-BE49-F238E27FC236}">
              <a16:creationId xmlns:a16="http://schemas.microsoft.com/office/drawing/2014/main" id="{00000000-0008-0000-0100-0000B7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 name="연결선: 꺾임 183">
          <a:extLst>
            <a:ext uri="{FF2B5EF4-FFF2-40B4-BE49-F238E27FC236}">
              <a16:creationId xmlns:a16="http://schemas.microsoft.com/office/drawing/2014/main" id="{00000000-0008-0000-0100-0000B8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 name="연결선: 꺾임 184">
          <a:extLst>
            <a:ext uri="{FF2B5EF4-FFF2-40B4-BE49-F238E27FC236}">
              <a16:creationId xmlns:a16="http://schemas.microsoft.com/office/drawing/2014/main" id="{00000000-0008-0000-0100-0000B9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6" name="연결선: 꺾임 185">
          <a:extLst>
            <a:ext uri="{FF2B5EF4-FFF2-40B4-BE49-F238E27FC236}">
              <a16:creationId xmlns:a16="http://schemas.microsoft.com/office/drawing/2014/main" id="{00000000-0008-0000-0100-0000BA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7" name="연결선: 꺾임 186">
          <a:extLst>
            <a:ext uri="{FF2B5EF4-FFF2-40B4-BE49-F238E27FC236}">
              <a16:creationId xmlns:a16="http://schemas.microsoft.com/office/drawing/2014/main" id="{00000000-0008-0000-0100-0000BB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8" name="연결선: 꺾임 187">
          <a:extLst>
            <a:ext uri="{FF2B5EF4-FFF2-40B4-BE49-F238E27FC236}">
              <a16:creationId xmlns:a16="http://schemas.microsoft.com/office/drawing/2014/main" id="{00000000-0008-0000-0100-0000BC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9" name="연결선: 꺾임 188">
          <a:extLst>
            <a:ext uri="{FF2B5EF4-FFF2-40B4-BE49-F238E27FC236}">
              <a16:creationId xmlns:a16="http://schemas.microsoft.com/office/drawing/2014/main" id="{00000000-0008-0000-0100-0000BD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0" name="연결선: 꺾임 189">
          <a:extLst>
            <a:ext uri="{FF2B5EF4-FFF2-40B4-BE49-F238E27FC236}">
              <a16:creationId xmlns:a16="http://schemas.microsoft.com/office/drawing/2014/main" id="{00000000-0008-0000-0100-0000BE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1" name="연결선: 꺾임 190">
          <a:extLst>
            <a:ext uri="{FF2B5EF4-FFF2-40B4-BE49-F238E27FC236}">
              <a16:creationId xmlns:a16="http://schemas.microsoft.com/office/drawing/2014/main" id="{00000000-0008-0000-0100-0000BF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2" name="연결선: 꺾임 191">
          <a:extLst>
            <a:ext uri="{FF2B5EF4-FFF2-40B4-BE49-F238E27FC236}">
              <a16:creationId xmlns:a16="http://schemas.microsoft.com/office/drawing/2014/main" id="{00000000-0008-0000-0100-0000C0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3" name="연결선: 꺾임 192">
          <a:extLst>
            <a:ext uri="{FF2B5EF4-FFF2-40B4-BE49-F238E27FC236}">
              <a16:creationId xmlns:a16="http://schemas.microsoft.com/office/drawing/2014/main" id="{00000000-0008-0000-0100-0000C1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4" name="연결선: 꺾임 193">
          <a:extLst>
            <a:ext uri="{FF2B5EF4-FFF2-40B4-BE49-F238E27FC236}">
              <a16:creationId xmlns:a16="http://schemas.microsoft.com/office/drawing/2014/main" id="{00000000-0008-0000-0100-0000C2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5" name="연결선: 꺾임 194">
          <a:extLst>
            <a:ext uri="{FF2B5EF4-FFF2-40B4-BE49-F238E27FC236}">
              <a16:creationId xmlns:a16="http://schemas.microsoft.com/office/drawing/2014/main" id="{00000000-0008-0000-0100-0000C3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6" name="연결선: 꺾임 195">
          <a:extLst>
            <a:ext uri="{FF2B5EF4-FFF2-40B4-BE49-F238E27FC236}">
              <a16:creationId xmlns:a16="http://schemas.microsoft.com/office/drawing/2014/main" id="{00000000-0008-0000-0100-0000C4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7" name="연결선: 꺾임 196">
          <a:extLst>
            <a:ext uri="{FF2B5EF4-FFF2-40B4-BE49-F238E27FC236}">
              <a16:creationId xmlns:a16="http://schemas.microsoft.com/office/drawing/2014/main" id="{00000000-0008-0000-0100-0000C5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8" name="연결선: 꺾임 197">
          <a:extLst>
            <a:ext uri="{FF2B5EF4-FFF2-40B4-BE49-F238E27FC236}">
              <a16:creationId xmlns:a16="http://schemas.microsoft.com/office/drawing/2014/main" id="{00000000-0008-0000-0100-0000C6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9" name="연결선: 꺾임 198">
          <a:extLst>
            <a:ext uri="{FF2B5EF4-FFF2-40B4-BE49-F238E27FC236}">
              <a16:creationId xmlns:a16="http://schemas.microsoft.com/office/drawing/2014/main" id="{00000000-0008-0000-0100-0000C7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0" name="연결선: 꺾임 199">
          <a:extLst>
            <a:ext uri="{FF2B5EF4-FFF2-40B4-BE49-F238E27FC236}">
              <a16:creationId xmlns:a16="http://schemas.microsoft.com/office/drawing/2014/main" id="{00000000-0008-0000-0100-0000C8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1" name="연결선: 꺾임 200">
          <a:extLst>
            <a:ext uri="{FF2B5EF4-FFF2-40B4-BE49-F238E27FC236}">
              <a16:creationId xmlns:a16="http://schemas.microsoft.com/office/drawing/2014/main" id="{00000000-0008-0000-0100-0000C9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2" name="연결선: 꺾임 201">
          <a:extLst>
            <a:ext uri="{FF2B5EF4-FFF2-40B4-BE49-F238E27FC236}">
              <a16:creationId xmlns:a16="http://schemas.microsoft.com/office/drawing/2014/main" id="{00000000-0008-0000-0100-0000CA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3" name="연결선: 꺾임 202">
          <a:extLst>
            <a:ext uri="{FF2B5EF4-FFF2-40B4-BE49-F238E27FC236}">
              <a16:creationId xmlns:a16="http://schemas.microsoft.com/office/drawing/2014/main" id="{00000000-0008-0000-0100-0000CB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4" name="연결선: 꺾임 203">
          <a:extLst>
            <a:ext uri="{FF2B5EF4-FFF2-40B4-BE49-F238E27FC236}">
              <a16:creationId xmlns:a16="http://schemas.microsoft.com/office/drawing/2014/main" id="{00000000-0008-0000-0100-0000CC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5" name="연결선: 꺾임 204">
          <a:extLst>
            <a:ext uri="{FF2B5EF4-FFF2-40B4-BE49-F238E27FC236}">
              <a16:creationId xmlns:a16="http://schemas.microsoft.com/office/drawing/2014/main" id="{00000000-0008-0000-0100-0000CD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6" name="연결선: 꺾임 205">
          <a:extLst>
            <a:ext uri="{FF2B5EF4-FFF2-40B4-BE49-F238E27FC236}">
              <a16:creationId xmlns:a16="http://schemas.microsoft.com/office/drawing/2014/main" id="{00000000-0008-0000-0100-0000CE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7" name="연결선: 꺾임 206">
          <a:extLst>
            <a:ext uri="{FF2B5EF4-FFF2-40B4-BE49-F238E27FC236}">
              <a16:creationId xmlns:a16="http://schemas.microsoft.com/office/drawing/2014/main" id="{00000000-0008-0000-0100-0000CF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8" name="연결선: 꺾임 207">
          <a:extLst>
            <a:ext uri="{FF2B5EF4-FFF2-40B4-BE49-F238E27FC236}">
              <a16:creationId xmlns:a16="http://schemas.microsoft.com/office/drawing/2014/main" id="{00000000-0008-0000-0100-0000D0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9" name="연결선: 꺾임 208">
          <a:extLst>
            <a:ext uri="{FF2B5EF4-FFF2-40B4-BE49-F238E27FC236}">
              <a16:creationId xmlns:a16="http://schemas.microsoft.com/office/drawing/2014/main" id="{00000000-0008-0000-0100-0000D1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0" name="연결선: 꺾임 209">
          <a:extLst>
            <a:ext uri="{FF2B5EF4-FFF2-40B4-BE49-F238E27FC236}">
              <a16:creationId xmlns:a16="http://schemas.microsoft.com/office/drawing/2014/main" id="{00000000-0008-0000-0100-0000D2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1" name="연결선: 꺾임 210">
          <a:extLst>
            <a:ext uri="{FF2B5EF4-FFF2-40B4-BE49-F238E27FC236}">
              <a16:creationId xmlns:a16="http://schemas.microsoft.com/office/drawing/2014/main" id="{00000000-0008-0000-0100-0000D3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2" name="연결선: 꺾임 211">
          <a:extLst>
            <a:ext uri="{FF2B5EF4-FFF2-40B4-BE49-F238E27FC236}">
              <a16:creationId xmlns:a16="http://schemas.microsoft.com/office/drawing/2014/main" id="{00000000-0008-0000-0100-0000D4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3" name="연결선: 꺾임 212">
          <a:extLst>
            <a:ext uri="{FF2B5EF4-FFF2-40B4-BE49-F238E27FC236}">
              <a16:creationId xmlns:a16="http://schemas.microsoft.com/office/drawing/2014/main" id="{00000000-0008-0000-0100-0000D5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4" name="연결선: 꺾임 213">
          <a:extLst>
            <a:ext uri="{FF2B5EF4-FFF2-40B4-BE49-F238E27FC236}">
              <a16:creationId xmlns:a16="http://schemas.microsoft.com/office/drawing/2014/main" id="{00000000-0008-0000-0100-0000D6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5" name="연결선: 꺾임 214">
          <a:extLst>
            <a:ext uri="{FF2B5EF4-FFF2-40B4-BE49-F238E27FC236}">
              <a16:creationId xmlns:a16="http://schemas.microsoft.com/office/drawing/2014/main" id="{00000000-0008-0000-0100-0000D7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6" name="연결선: 꺾임 215">
          <a:extLst>
            <a:ext uri="{FF2B5EF4-FFF2-40B4-BE49-F238E27FC236}">
              <a16:creationId xmlns:a16="http://schemas.microsoft.com/office/drawing/2014/main" id="{00000000-0008-0000-0100-0000D8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7" name="연결선: 꺾임 216">
          <a:extLst>
            <a:ext uri="{FF2B5EF4-FFF2-40B4-BE49-F238E27FC236}">
              <a16:creationId xmlns:a16="http://schemas.microsoft.com/office/drawing/2014/main" id="{00000000-0008-0000-0100-0000D9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8" name="연결선: 꺾임 217">
          <a:extLst>
            <a:ext uri="{FF2B5EF4-FFF2-40B4-BE49-F238E27FC236}">
              <a16:creationId xmlns:a16="http://schemas.microsoft.com/office/drawing/2014/main" id="{00000000-0008-0000-0100-0000DA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9" name="연결선: 꺾임 218">
          <a:extLst>
            <a:ext uri="{FF2B5EF4-FFF2-40B4-BE49-F238E27FC236}">
              <a16:creationId xmlns:a16="http://schemas.microsoft.com/office/drawing/2014/main" id="{00000000-0008-0000-0100-0000DB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0" name="연결선: 꺾임 219">
          <a:extLst>
            <a:ext uri="{FF2B5EF4-FFF2-40B4-BE49-F238E27FC236}">
              <a16:creationId xmlns:a16="http://schemas.microsoft.com/office/drawing/2014/main" id="{00000000-0008-0000-0100-0000DC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1" name="연결선: 꺾임 220">
          <a:extLst>
            <a:ext uri="{FF2B5EF4-FFF2-40B4-BE49-F238E27FC236}">
              <a16:creationId xmlns:a16="http://schemas.microsoft.com/office/drawing/2014/main" id="{00000000-0008-0000-0100-0000DD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2" name="연결선: 꺾임 221">
          <a:extLst>
            <a:ext uri="{FF2B5EF4-FFF2-40B4-BE49-F238E27FC236}">
              <a16:creationId xmlns:a16="http://schemas.microsoft.com/office/drawing/2014/main" id="{00000000-0008-0000-0100-0000DE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3" name="연결선: 꺾임 222">
          <a:extLst>
            <a:ext uri="{FF2B5EF4-FFF2-40B4-BE49-F238E27FC236}">
              <a16:creationId xmlns:a16="http://schemas.microsoft.com/office/drawing/2014/main" id="{00000000-0008-0000-0100-0000DF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4" name="연결선: 꺾임 223">
          <a:extLst>
            <a:ext uri="{FF2B5EF4-FFF2-40B4-BE49-F238E27FC236}">
              <a16:creationId xmlns:a16="http://schemas.microsoft.com/office/drawing/2014/main" id="{00000000-0008-0000-0100-0000E0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5" name="연결선: 꺾임 224">
          <a:extLst>
            <a:ext uri="{FF2B5EF4-FFF2-40B4-BE49-F238E27FC236}">
              <a16:creationId xmlns:a16="http://schemas.microsoft.com/office/drawing/2014/main" id="{00000000-0008-0000-0100-0000E1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6" name="연결선: 꺾임 225">
          <a:extLst>
            <a:ext uri="{FF2B5EF4-FFF2-40B4-BE49-F238E27FC236}">
              <a16:creationId xmlns:a16="http://schemas.microsoft.com/office/drawing/2014/main" id="{00000000-0008-0000-0100-0000E2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7" name="연결선: 꺾임 226">
          <a:extLst>
            <a:ext uri="{FF2B5EF4-FFF2-40B4-BE49-F238E27FC236}">
              <a16:creationId xmlns:a16="http://schemas.microsoft.com/office/drawing/2014/main" id="{00000000-0008-0000-0100-0000E3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8" name="연결선: 꺾임 227">
          <a:extLst>
            <a:ext uri="{FF2B5EF4-FFF2-40B4-BE49-F238E27FC236}">
              <a16:creationId xmlns:a16="http://schemas.microsoft.com/office/drawing/2014/main" id="{00000000-0008-0000-0100-0000E4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9" name="연결선: 꺾임 228">
          <a:extLst>
            <a:ext uri="{FF2B5EF4-FFF2-40B4-BE49-F238E27FC236}">
              <a16:creationId xmlns:a16="http://schemas.microsoft.com/office/drawing/2014/main" id="{00000000-0008-0000-0100-0000E5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 name="연결선: 꺾임 229">
          <a:extLst>
            <a:ext uri="{FF2B5EF4-FFF2-40B4-BE49-F238E27FC236}">
              <a16:creationId xmlns:a16="http://schemas.microsoft.com/office/drawing/2014/main" id="{00000000-0008-0000-0100-0000E6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1" name="연결선: 꺾임 230">
          <a:extLst>
            <a:ext uri="{FF2B5EF4-FFF2-40B4-BE49-F238E27FC236}">
              <a16:creationId xmlns:a16="http://schemas.microsoft.com/office/drawing/2014/main" id="{00000000-0008-0000-0100-0000E7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2" name="연결선: 꺾임 231">
          <a:extLst>
            <a:ext uri="{FF2B5EF4-FFF2-40B4-BE49-F238E27FC236}">
              <a16:creationId xmlns:a16="http://schemas.microsoft.com/office/drawing/2014/main" id="{00000000-0008-0000-0100-0000E8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3" name="연결선: 꺾임 232">
          <a:extLst>
            <a:ext uri="{FF2B5EF4-FFF2-40B4-BE49-F238E27FC236}">
              <a16:creationId xmlns:a16="http://schemas.microsoft.com/office/drawing/2014/main" id="{00000000-0008-0000-0100-0000E9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4" name="연결선: 꺾임 233">
          <a:extLst>
            <a:ext uri="{FF2B5EF4-FFF2-40B4-BE49-F238E27FC236}">
              <a16:creationId xmlns:a16="http://schemas.microsoft.com/office/drawing/2014/main" id="{00000000-0008-0000-0100-0000EA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5" name="연결선: 꺾임 234">
          <a:extLst>
            <a:ext uri="{FF2B5EF4-FFF2-40B4-BE49-F238E27FC236}">
              <a16:creationId xmlns:a16="http://schemas.microsoft.com/office/drawing/2014/main" id="{00000000-0008-0000-0100-0000EB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6" name="연결선: 꺾임 235">
          <a:extLst>
            <a:ext uri="{FF2B5EF4-FFF2-40B4-BE49-F238E27FC236}">
              <a16:creationId xmlns:a16="http://schemas.microsoft.com/office/drawing/2014/main" id="{00000000-0008-0000-0100-0000EC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7" name="연결선: 꺾임 236">
          <a:extLst>
            <a:ext uri="{FF2B5EF4-FFF2-40B4-BE49-F238E27FC236}">
              <a16:creationId xmlns:a16="http://schemas.microsoft.com/office/drawing/2014/main" id="{00000000-0008-0000-0100-0000ED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8" name="연결선: 꺾임 237">
          <a:extLst>
            <a:ext uri="{FF2B5EF4-FFF2-40B4-BE49-F238E27FC236}">
              <a16:creationId xmlns:a16="http://schemas.microsoft.com/office/drawing/2014/main" id="{00000000-0008-0000-0100-0000EE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9" name="연결선: 꺾임 238">
          <a:extLst>
            <a:ext uri="{FF2B5EF4-FFF2-40B4-BE49-F238E27FC236}">
              <a16:creationId xmlns:a16="http://schemas.microsoft.com/office/drawing/2014/main" id="{00000000-0008-0000-0100-0000EF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0" name="연결선: 꺾임 239">
          <a:extLst>
            <a:ext uri="{FF2B5EF4-FFF2-40B4-BE49-F238E27FC236}">
              <a16:creationId xmlns:a16="http://schemas.microsoft.com/office/drawing/2014/main" id="{00000000-0008-0000-0100-0000F0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1" name="연결선: 꺾임 240">
          <a:extLst>
            <a:ext uri="{FF2B5EF4-FFF2-40B4-BE49-F238E27FC236}">
              <a16:creationId xmlns:a16="http://schemas.microsoft.com/office/drawing/2014/main" id="{00000000-0008-0000-0100-0000F1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2" name="연결선: 꺾임 241">
          <a:extLst>
            <a:ext uri="{FF2B5EF4-FFF2-40B4-BE49-F238E27FC236}">
              <a16:creationId xmlns:a16="http://schemas.microsoft.com/office/drawing/2014/main" id="{00000000-0008-0000-0100-0000F2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 name="연결선: 꺾임 242">
          <a:extLst>
            <a:ext uri="{FF2B5EF4-FFF2-40B4-BE49-F238E27FC236}">
              <a16:creationId xmlns:a16="http://schemas.microsoft.com/office/drawing/2014/main" id="{00000000-0008-0000-0100-0000F3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 name="연결선: 꺾임 243">
          <a:extLst>
            <a:ext uri="{FF2B5EF4-FFF2-40B4-BE49-F238E27FC236}">
              <a16:creationId xmlns:a16="http://schemas.microsoft.com/office/drawing/2014/main" id="{00000000-0008-0000-0100-0000F4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 name="연결선: 꺾임 244">
          <a:extLst>
            <a:ext uri="{FF2B5EF4-FFF2-40B4-BE49-F238E27FC236}">
              <a16:creationId xmlns:a16="http://schemas.microsoft.com/office/drawing/2014/main" id="{00000000-0008-0000-0100-0000F5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 name="연결선: 꺾임 245">
          <a:extLst>
            <a:ext uri="{FF2B5EF4-FFF2-40B4-BE49-F238E27FC236}">
              <a16:creationId xmlns:a16="http://schemas.microsoft.com/office/drawing/2014/main" id="{00000000-0008-0000-0100-0000F6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 name="연결선: 꺾임 246">
          <a:extLst>
            <a:ext uri="{FF2B5EF4-FFF2-40B4-BE49-F238E27FC236}">
              <a16:creationId xmlns:a16="http://schemas.microsoft.com/office/drawing/2014/main" id="{00000000-0008-0000-0100-0000F7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 name="연결선: 꺾임 247">
          <a:extLst>
            <a:ext uri="{FF2B5EF4-FFF2-40B4-BE49-F238E27FC236}">
              <a16:creationId xmlns:a16="http://schemas.microsoft.com/office/drawing/2014/main" id="{00000000-0008-0000-0100-0000F8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9" name="연결선: 꺾임 248">
          <a:extLst>
            <a:ext uri="{FF2B5EF4-FFF2-40B4-BE49-F238E27FC236}">
              <a16:creationId xmlns:a16="http://schemas.microsoft.com/office/drawing/2014/main" id="{00000000-0008-0000-0100-0000F9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0" name="연결선: 꺾임 249">
          <a:extLst>
            <a:ext uri="{FF2B5EF4-FFF2-40B4-BE49-F238E27FC236}">
              <a16:creationId xmlns:a16="http://schemas.microsoft.com/office/drawing/2014/main" id="{00000000-0008-0000-0100-0000FA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1" name="연결선: 꺾임 250">
          <a:extLst>
            <a:ext uri="{FF2B5EF4-FFF2-40B4-BE49-F238E27FC236}">
              <a16:creationId xmlns:a16="http://schemas.microsoft.com/office/drawing/2014/main" id="{00000000-0008-0000-0100-0000FB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2" name="연결선: 꺾임 251">
          <a:extLst>
            <a:ext uri="{FF2B5EF4-FFF2-40B4-BE49-F238E27FC236}">
              <a16:creationId xmlns:a16="http://schemas.microsoft.com/office/drawing/2014/main" id="{00000000-0008-0000-0100-0000FC000000}"/>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3" name="연결선: 꺾임 252">
          <a:extLst>
            <a:ext uri="{FF2B5EF4-FFF2-40B4-BE49-F238E27FC236}">
              <a16:creationId xmlns:a16="http://schemas.microsoft.com/office/drawing/2014/main" id="{00000000-0008-0000-0100-0000FD000000}"/>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4" name="연결선: 꺾임 253">
          <a:extLst>
            <a:ext uri="{FF2B5EF4-FFF2-40B4-BE49-F238E27FC236}">
              <a16:creationId xmlns:a16="http://schemas.microsoft.com/office/drawing/2014/main" id="{00000000-0008-0000-0100-0000FE000000}"/>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5" name="연결선: 꺾임 254">
          <a:extLst>
            <a:ext uri="{FF2B5EF4-FFF2-40B4-BE49-F238E27FC236}">
              <a16:creationId xmlns:a16="http://schemas.microsoft.com/office/drawing/2014/main" id="{00000000-0008-0000-0100-0000FF000000}"/>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6" name="연결선: 꺾임 255">
          <a:extLst>
            <a:ext uri="{FF2B5EF4-FFF2-40B4-BE49-F238E27FC236}">
              <a16:creationId xmlns:a16="http://schemas.microsoft.com/office/drawing/2014/main" id="{00000000-0008-0000-0100-000000010000}"/>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7" name="연결선: 꺾임 256">
          <a:extLst>
            <a:ext uri="{FF2B5EF4-FFF2-40B4-BE49-F238E27FC236}">
              <a16:creationId xmlns:a16="http://schemas.microsoft.com/office/drawing/2014/main" id="{00000000-0008-0000-0100-000001010000}"/>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8" name="연결선: 꺾임 257">
          <a:extLst>
            <a:ext uri="{FF2B5EF4-FFF2-40B4-BE49-F238E27FC236}">
              <a16:creationId xmlns:a16="http://schemas.microsoft.com/office/drawing/2014/main" id="{00000000-0008-0000-0100-000002010000}"/>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9" name="연결선: 꺾임 258">
          <a:extLst>
            <a:ext uri="{FF2B5EF4-FFF2-40B4-BE49-F238E27FC236}">
              <a16:creationId xmlns:a16="http://schemas.microsoft.com/office/drawing/2014/main" id="{00000000-0008-0000-0100-000003010000}"/>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0" name="연결선: 꺾임 259">
          <a:extLst>
            <a:ext uri="{FF2B5EF4-FFF2-40B4-BE49-F238E27FC236}">
              <a16:creationId xmlns:a16="http://schemas.microsoft.com/office/drawing/2014/main" id="{00000000-0008-0000-0100-000004010000}"/>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1" name="연결선: 꺾임 260">
          <a:extLst>
            <a:ext uri="{FF2B5EF4-FFF2-40B4-BE49-F238E27FC236}">
              <a16:creationId xmlns:a16="http://schemas.microsoft.com/office/drawing/2014/main" id="{00000000-0008-0000-0100-000005010000}"/>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2" name="연결선: 꺾임 261">
          <a:extLst>
            <a:ext uri="{FF2B5EF4-FFF2-40B4-BE49-F238E27FC236}">
              <a16:creationId xmlns:a16="http://schemas.microsoft.com/office/drawing/2014/main" id="{00000000-0008-0000-0100-000006010000}"/>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3" name="연결선: 꺾임 262">
          <a:extLst>
            <a:ext uri="{FF2B5EF4-FFF2-40B4-BE49-F238E27FC236}">
              <a16:creationId xmlns:a16="http://schemas.microsoft.com/office/drawing/2014/main" id="{00000000-0008-0000-0100-000007010000}"/>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4" name="연결선: 꺾임 263">
          <a:extLst>
            <a:ext uri="{FF2B5EF4-FFF2-40B4-BE49-F238E27FC236}">
              <a16:creationId xmlns:a16="http://schemas.microsoft.com/office/drawing/2014/main" id="{00000000-0008-0000-0100-000008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5" name="연결선: 꺾임 264">
          <a:extLst>
            <a:ext uri="{FF2B5EF4-FFF2-40B4-BE49-F238E27FC236}">
              <a16:creationId xmlns:a16="http://schemas.microsoft.com/office/drawing/2014/main" id="{00000000-0008-0000-0100-000009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6" name="연결선: 꺾임 265">
          <a:extLst>
            <a:ext uri="{FF2B5EF4-FFF2-40B4-BE49-F238E27FC236}">
              <a16:creationId xmlns:a16="http://schemas.microsoft.com/office/drawing/2014/main" id="{00000000-0008-0000-0100-00000A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7" name="연결선: 꺾임 266">
          <a:extLst>
            <a:ext uri="{FF2B5EF4-FFF2-40B4-BE49-F238E27FC236}">
              <a16:creationId xmlns:a16="http://schemas.microsoft.com/office/drawing/2014/main" id="{00000000-0008-0000-0100-00000B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8" name="연결선: 꺾임 267">
          <a:extLst>
            <a:ext uri="{FF2B5EF4-FFF2-40B4-BE49-F238E27FC236}">
              <a16:creationId xmlns:a16="http://schemas.microsoft.com/office/drawing/2014/main" id="{00000000-0008-0000-0100-00000C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9" name="연결선: 꺾임 268">
          <a:extLst>
            <a:ext uri="{FF2B5EF4-FFF2-40B4-BE49-F238E27FC236}">
              <a16:creationId xmlns:a16="http://schemas.microsoft.com/office/drawing/2014/main" id="{00000000-0008-0000-0100-00000D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0" name="연결선: 꺾임 269">
          <a:extLst>
            <a:ext uri="{FF2B5EF4-FFF2-40B4-BE49-F238E27FC236}">
              <a16:creationId xmlns:a16="http://schemas.microsoft.com/office/drawing/2014/main" id="{00000000-0008-0000-0100-00000E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1" name="연결선: 꺾임 270">
          <a:extLst>
            <a:ext uri="{FF2B5EF4-FFF2-40B4-BE49-F238E27FC236}">
              <a16:creationId xmlns:a16="http://schemas.microsoft.com/office/drawing/2014/main" id="{00000000-0008-0000-0100-00000F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2" name="연결선: 꺾임 271">
          <a:extLst>
            <a:ext uri="{FF2B5EF4-FFF2-40B4-BE49-F238E27FC236}">
              <a16:creationId xmlns:a16="http://schemas.microsoft.com/office/drawing/2014/main" id="{00000000-0008-0000-0100-000010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3" name="연결선: 꺾임 272">
          <a:extLst>
            <a:ext uri="{FF2B5EF4-FFF2-40B4-BE49-F238E27FC236}">
              <a16:creationId xmlns:a16="http://schemas.microsoft.com/office/drawing/2014/main" id="{00000000-0008-0000-0100-000011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4" name="연결선: 꺾임 273">
          <a:extLst>
            <a:ext uri="{FF2B5EF4-FFF2-40B4-BE49-F238E27FC236}">
              <a16:creationId xmlns:a16="http://schemas.microsoft.com/office/drawing/2014/main" id="{00000000-0008-0000-0100-000012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5" name="연결선: 꺾임 274">
          <a:extLst>
            <a:ext uri="{FF2B5EF4-FFF2-40B4-BE49-F238E27FC236}">
              <a16:creationId xmlns:a16="http://schemas.microsoft.com/office/drawing/2014/main" id="{00000000-0008-0000-0100-000013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6" name="연결선: 꺾임 275">
          <a:extLst>
            <a:ext uri="{FF2B5EF4-FFF2-40B4-BE49-F238E27FC236}">
              <a16:creationId xmlns:a16="http://schemas.microsoft.com/office/drawing/2014/main" id="{00000000-0008-0000-0100-000014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7" name="연결선: 꺾임 276">
          <a:extLst>
            <a:ext uri="{FF2B5EF4-FFF2-40B4-BE49-F238E27FC236}">
              <a16:creationId xmlns:a16="http://schemas.microsoft.com/office/drawing/2014/main" id="{00000000-0008-0000-0100-000015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8" name="연결선: 꺾임 277">
          <a:extLst>
            <a:ext uri="{FF2B5EF4-FFF2-40B4-BE49-F238E27FC236}">
              <a16:creationId xmlns:a16="http://schemas.microsoft.com/office/drawing/2014/main" id="{00000000-0008-0000-0100-000016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9" name="연결선: 꺾임 278">
          <a:extLst>
            <a:ext uri="{FF2B5EF4-FFF2-40B4-BE49-F238E27FC236}">
              <a16:creationId xmlns:a16="http://schemas.microsoft.com/office/drawing/2014/main" id="{00000000-0008-0000-0100-000017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0" name="연결선: 꺾임 279">
          <a:extLst>
            <a:ext uri="{FF2B5EF4-FFF2-40B4-BE49-F238E27FC236}">
              <a16:creationId xmlns:a16="http://schemas.microsoft.com/office/drawing/2014/main" id="{00000000-0008-0000-0100-000018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1" name="연결선: 꺾임 280">
          <a:extLst>
            <a:ext uri="{FF2B5EF4-FFF2-40B4-BE49-F238E27FC236}">
              <a16:creationId xmlns:a16="http://schemas.microsoft.com/office/drawing/2014/main" id="{00000000-0008-0000-0100-000019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2" name="연결선: 꺾임 281">
          <a:extLst>
            <a:ext uri="{FF2B5EF4-FFF2-40B4-BE49-F238E27FC236}">
              <a16:creationId xmlns:a16="http://schemas.microsoft.com/office/drawing/2014/main" id="{00000000-0008-0000-0100-00001A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3" name="연결선: 꺾임 282">
          <a:extLst>
            <a:ext uri="{FF2B5EF4-FFF2-40B4-BE49-F238E27FC236}">
              <a16:creationId xmlns:a16="http://schemas.microsoft.com/office/drawing/2014/main" id="{00000000-0008-0000-0100-00001B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4" name="연결선: 꺾임 283">
          <a:extLst>
            <a:ext uri="{FF2B5EF4-FFF2-40B4-BE49-F238E27FC236}">
              <a16:creationId xmlns:a16="http://schemas.microsoft.com/office/drawing/2014/main" id="{00000000-0008-0000-0100-00001C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5" name="연결선: 꺾임 284">
          <a:extLst>
            <a:ext uri="{FF2B5EF4-FFF2-40B4-BE49-F238E27FC236}">
              <a16:creationId xmlns:a16="http://schemas.microsoft.com/office/drawing/2014/main" id="{00000000-0008-0000-0100-00001D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6" name="연결선: 꺾임 285">
          <a:extLst>
            <a:ext uri="{FF2B5EF4-FFF2-40B4-BE49-F238E27FC236}">
              <a16:creationId xmlns:a16="http://schemas.microsoft.com/office/drawing/2014/main" id="{00000000-0008-0000-0100-00001E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7" name="연결선: 꺾임 286">
          <a:extLst>
            <a:ext uri="{FF2B5EF4-FFF2-40B4-BE49-F238E27FC236}">
              <a16:creationId xmlns:a16="http://schemas.microsoft.com/office/drawing/2014/main" id="{00000000-0008-0000-0100-00001F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8" name="연결선: 꺾임 287">
          <a:extLst>
            <a:ext uri="{FF2B5EF4-FFF2-40B4-BE49-F238E27FC236}">
              <a16:creationId xmlns:a16="http://schemas.microsoft.com/office/drawing/2014/main" id="{00000000-0008-0000-0100-000020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9" name="연결선: 꺾임 288">
          <a:extLst>
            <a:ext uri="{FF2B5EF4-FFF2-40B4-BE49-F238E27FC236}">
              <a16:creationId xmlns:a16="http://schemas.microsoft.com/office/drawing/2014/main" id="{00000000-0008-0000-0100-000021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0" name="연결선: 꺾임 289">
          <a:extLst>
            <a:ext uri="{FF2B5EF4-FFF2-40B4-BE49-F238E27FC236}">
              <a16:creationId xmlns:a16="http://schemas.microsoft.com/office/drawing/2014/main" id="{00000000-0008-0000-0100-000022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1" name="연결선: 꺾임 290">
          <a:extLst>
            <a:ext uri="{FF2B5EF4-FFF2-40B4-BE49-F238E27FC236}">
              <a16:creationId xmlns:a16="http://schemas.microsoft.com/office/drawing/2014/main" id="{00000000-0008-0000-0100-000023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2" name="연결선: 꺾임 291">
          <a:extLst>
            <a:ext uri="{FF2B5EF4-FFF2-40B4-BE49-F238E27FC236}">
              <a16:creationId xmlns:a16="http://schemas.microsoft.com/office/drawing/2014/main" id="{00000000-0008-0000-0100-000024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3" name="연결선: 꺾임 292">
          <a:extLst>
            <a:ext uri="{FF2B5EF4-FFF2-40B4-BE49-F238E27FC236}">
              <a16:creationId xmlns:a16="http://schemas.microsoft.com/office/drawing/2014/main" id="{00000000-0008-0000-0100-000025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4" name="연결선: 꺾임 293">
          <a:extLst>
            <a:ext uri="{FF2B5EF4-FFF2-40B4-BE49-F238E27FC236}">
              <a16:creationId xmlns:a16="http://schemas.microsoft.com/office/drawing/2014/main" id="{00000000-0008-0000-0100-000026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5" name="연결선: 꺾임 294">
          <a:extLst>
            <a:ext uri="{FF2B5EF4-FFF2-40B4-BE49-F238E27FC236}">
              <a16:creationId xmlns:a16="http://schemas.microsoft.com/office/drawing/2014/main" id="{00000000-0008-0000-0100-000027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6" name="연결선: 꺾임 295">
          <a:extLst>
            <a:ext uri="{FF2B5EF4-FFF2-40B4-BE49-F238E27FC236}">
              <a16:creationId xmlns:a16="http://schemas.microsoft.com/office/drawing/2014/main" id="{00000000-0008-0000-0100-000028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7" name="연결선: 꺾임 296">
          <a:extLst>
            <a:ext uri="{FF2B5EF4-FFF2-40B4-BE49-F238E27FC236}">
              <a16:creationId xmlns:a16="http://schemas.microsoft.com/office/drawing/2014/main" id="{00000000-0008-0000-0100-000029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8" name="연결선: 꺾임 297">
          <a:extLst>
            <a:ext uri="{FF2B5EF4-FFF2-40B4-BE49-F238E27FC236}">
              <a16:creationId xmlns:a16="http://schemas.microsoft.com/office/drawing/2014/main" id="{00000000-0008-0000-0100-00002A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9" name="연결선: 꺾임 298">
          <a:extLst>
            <a:ext uri="{FF2B5EF4-FFF2-40B4-BE49-F238E27FC236}">
              <a16:creationId xmlns:a16="http://schemas.microsoft.com/office/drawing/2014/main" id="{00000000-0008-0000-0100-00002B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0" name="연결선: 꺾임 299">
          <a:extLst>
            <a:ext uri="{FF2B5EF4-FFF2-40B4-BE49-F238E27FC236}">
              <a16:creationId xmlns:a16="http://schemas.microsoft.com/office/drawing/2014/main" id="{00000000-0008-0000-0100-00002C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1" name="연결선: 꺾임 300">
          <a:extLst>
            <a:ext uri="{FF2B5EF4-FFF2-40B4-BE49-F238E27FC236}">
              <a16:creationId xmlns:a16="http://schemas.microsoft.com/office/drawing/2014/main" id="{00000000-0008-0000-0100-00002D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2" name="연결선: 꺾임 301">
          <a:extLst>
            <a:ext uri="{FF2B5EF4-FFF2-40B4-BE49-F238E27FC236}">
              <a16:creationId xmlns:a16="http://schemas.microsoft.com/office/drawing/2014/main" id="{00000000-0008-0000-0100-00002E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3" name="연결선: 꺾임 302">
          <a:extLst>
            <a:ext uri="{FF2B5EF4-FFF2-40B4-BE49-F238E27FC236}">
              <a16:creationId xmlns:a16="http://schemas.microsoft.com/office/drawing/2014/main" id="{00000000-0008-0000-0100-00002F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4" name="연결선: 꺾임 303">
          <a:extLst>
            <a:ext uri="{FF2B5EF4-FFF2-40B4-BE49-F238E27FC236}">
              <a16:creationId xmlns:a16="http://schemas.microsoft.com/office/drawing/2014/main" id="{00000000-0008-0000-0100-000030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5" name="연결선: 꺾임 304">
          <a:extLst>
            <a:ext uri="{FF2B5EF4-FFF2-40B4-BE49-F238E27FC236}">
              <a16:creationId xmlns:a16="http://schemas.microsoft.com/office/drawing/2014/main" id="{00000000-0008-0000-0100-000031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6" name="연결선: 꺾임 305">
          <a:extLst>
            <a:ext uri="{FF2B5EF4-FFF2-40B4-BE49-F238E27FC236}">
              <a16:creationId xmlns:a16="http://schemas.microsoft.com/office/drawing/2014/main" id="{00000000-0008-0000-0100-000032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7" name="연결선: 꺾임 306">
          <a:extLst>
            <a:ext uri="{FF2B5EF4-FFF2-40B4-BE49-F238E27FC236}">
              <a16:creationId xmlns:a16="http://schemas.microsoft.com/office/drawing/2014/main" id="{00000000-0008-0000-0100-000033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8" name="연결선: 꺾임 307">
          <a:extLst>
            <a:ext uri="{FF2B5EF4-FFF2-40B4-BE49-F238E27FC236}">
              <a16:creationId xmlns:a16="http://schemas.microsoft.com/office/drawing/2014/main" id="{00000000-0008-0000-0100-000034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9" name="연결선: 꺾임 308">
          <a:extLst>
            <a:ext uri="{FF2B5EF4-FFF2-40B4-BE49-F238E27FC236}">
              <a16:creationId xmlns:a16="http://schemas.microsoft.com/office/drawing/2014/main" id="{00000000-0008-0000-0100-000035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0" name="연결선: 꺾임 309">
          <a:extLst>
            <a:ext uri="{FF2B5EF4-FFF2-40B4-BE49-F238E27FC236}">
              <a16:creationId xmlns:a16="http://schemas.microsoft.com/office/drawing/2014/main" id="{00000000-0008-0000-0100-000036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1" name="연결선: 꺾임 310">
          <a:extLst>
            <a:ext uri="{FF2B5EF4-FFF2-40B4-BE49-F238E27FC236}">
              <a16:creationId xmlns:a16="http://schemas.microsoft.com/office/drawing/2014/main" id="{00000000-0008-0000-0100-000037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2" name="연결선: 꺾임 311">
          <a:extLst>
            <a:ext uri="{FF2B5EF4-FFF2-40B4-BE49-F238E27FC236}">
              <a16:creationId xmlns:a16="http://schemas.microsoft.com/office/drawing/2014/main" id="{00000000-0008-0000-0100-000038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3" name="연결선: 꺾임 312">
          <a:extLst>
            <a:ext uri="{FF2B5EF4-FFF2-40B4-BE49-F238E27FC236}">
              <a16:creationId xmlns:a16="http://schemas.microsoft.com/office/drawing/2014/main" id="{00000000-0008-0000-0100-000039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4" name="연결선: 꺾임 313">
          <a:extLst>
            <a:ext uri="{FF2B5EF4-FFF2-40B4-BE49-F238E27FC236}">
              <a16:creationId xmlns:a16="http://schemas.microsoft.com/office/drawing/2014/main" id="{00000000-0008-0000-0100-00003A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5" name="연결선: 꺾임 314">
          <a:extLst>
            <a:ext uri="{FF2B5EF4-FFF2-40B4-BE49-F238E27FC236}">
              <a16:creationId xmlns:a16="http://schemas.microsoft.com/office/drawing/2014/main" id="{00000000-0008-0000-0100-00003B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6" name="연결선: 꺾임 315">
          <a:extLst>
            <a:ext uri="{FF2B5EF4-FFF2-40B4-BE49-F238E27FC236}">
              <a16:creationId xmlns:a16="http://schemas.microsoft.com/office/drawing/2014/main" id="{00000000-0008-0000-0100-00003C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7" name="연결선: 꺾임 316">
          <a:extLst>
            <a:ext uri="{FF2B5EF4-FFF2-40B4-BE49-F238E27FC236}">
              <a16:creationId xmlns:a16="http://schemas.microsoft.com/office/drawing/2014/main" id="{00000000-0008-0000-0100-00003D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8" name="연결선: 꺾임 317">
          <a:extLst>
            <a:ext uri="{FF2B5EF4-FFF2-40B4-BE49-F238E27FC236}">
              <a16:creationId xmlns:a16="http://schemas.microsoft.com/office/drawing/2014/main" id="{00000000-0008-0000-0100-00003E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9" name="연결선: 꺾임 318">
          <a:extLst>
            <a:ext uri="{FF2B5EF4-FFF2-40B4-BE49-F238E27FC236}">
              <a16:creationId xmlns:a16="http://schemas.microsoft.com/office/drawing/2014/main" id="{00000000-0008-0000-0100-00003F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0" name="연결선: 꺾임 319">
          <a:extLst>
            <a:ext uri="{FF2B5EF4-FFF2-40B4-BE49-F238E27FC236}">
              <a16:creationId xmlns:a16="http://schemas.microsoft.com/office/drawing/2014/main" id="{00000000-0008-0000-0100-000040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1" name="연결선: 꺾임 320">
          <a:extLst>
            <a:ext uri="{FF2B5EF4-FFF2-40B4-BE49-F238E27FC236}">
              <a16:creationId xmlns:a16="http://schemas.microsoft.com/office/drawing/2014/main" id="{00000000-0008-0000-0100-000041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2" name="연결선: 꺾임 321">
          <a:extLst>
            <a:ext uri="{FF2B5EF4-FFF2-40B4-BE49-F238E27FC236}">
              <a16:creationId xmlns:a16="http://schemas.microsoft.com/office/drawing/2014/main" id="{00000000-0008-0000-0100-000042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3" name="연결선: 꺾임 322">
          <a:extLst>
            <a:ext uri="{FF2B5EF4-FFF2-40B4-BE49-F238E27FC236}">
              <a16:creationId xmlns:a16="http://schemas.microsoft.com/office/drawing/2014/main" id="{00000000-0008-0000-0100-000043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4" name="연결선: 꺾임 323">
          <a:extLst>
            <a:ext uri="{FF2B5EF4-FFF2-40B4-BE49-F238E27FC236}">
              <a16:creationId xmlns:a16="http://schemas.microsoft.com/office/drawing/2014/main" id="{00000000-0008-0000-0100-000044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5" name="연결선: 꺾임 324">
          <a:extLst>
            <a:ext uri="{FF2B5EF4-FFF2-40B4-BE49-F238E27FC236}">
              <a16:creationId xmlns:a16="http://schemas.microsoft.com/office/drawing/2014/main" id="{00000000-0008-0000-0100-000045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6" name="연결선: 꺾임 325">
          <a:extLst>
            <a:ext uri="{FF2B5EF4-FFF2-40B4-BE49-F238E27FC236}">
              <a16:creationId xmlns:a16="http://schemas.microsoft.com/office/drawing/2014/main" id="{00000000-0008-0000-0100-000046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7" name="연결선: 꺾임 326">
          <a:extLst>
            <a:ext uri="{FF2B5EF4-FFF2-40B4-BE49-F238E27FC236}">
              <a16:creationId xmlns:a16="http://schemas.microsoft.com/office/drawing/2014/main" id="{00000000-0008-0000-0100-000047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8" name="연결선: 꺾임 327">
          <a:extLst>
            <a:ext uri="{FF2B5EF4-FFF2-40B4-BE49-F238E27FC236}">
              <a16:creationId xmlns:a16="http://schemas.microsoft.com/office/drawing/2014/main" id="{00000000-0008-0000-0100-000048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9" name="연결선: 꺾임 328">
          <a:extLst>
            <a:ext uri="{FF2B5EF4-FFF2-40B4-BE49-F238E27FC236}">
              <a16:creationId xmlns:a16="http://schemas.microsoft.com/office/drawing/2014/main" id="{00000000-0008-0000-0100-000049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0" name="연결선: 꺾임 329">
          <a:extLst>
            <a:ext uri="{FF2B5EF4-FFF2-40B4-BE49-F238E27FC236}">
              <a16:creationId xmlns:a16="http://schemas.microsoft.com/office/drawing/2014/main" id="{00000000-0008-0000-0100-00004A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1" name="연결선: 꺾임 330">
          <a:extLst>
            <a:ext uri="{FF2B5EF4-FFF2-40B4-BE49-F238E27FC236}">
              <a16:creationId xmlns:a16="http://schemas.microsoft.com/office/drawing/2014/main" id="{00000000-0008-0000-0100-00004B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2" name="연결선: 꺾임 331">
          <a:extLst>
            <a:ext uri="{FF2B5EF4-FFF2-40B4-BE49-F238E27FC236}">
              <a16:creationId xmlns:a16="http://schemas.microsoft.com/office/drawing/2014/main" id="{00000000-0008-0000-0100-00004C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3" name="연결선: 꺾임 332">
          <a:extLst>
            <a:ext uri="{FF2B5EF4-FFF2-40B4-BE49-F238E27FC236}">
              <a16:creationId xmlns:a16="http://schemas.microsoft.com/office/drawing/2014/main" id="{00000000-0008-0000-0100-00004D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4" name="연결선: 꺾임 333">
          <a:extLst>
            <a:ext uri="{FF2B5EF4-FFF2-40B4-BE49-F238E27FC236}">
              <a16:creationId xmlns:a16="http://schemas.microsoft.com/office/drawing/2014/main" id="{00000000-0008-0000-0100-00004E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5" name="연결선: 꺾임 334">
          <a:extLst>
            <a:ext uri="{FF2B5EF4-FFF2-40B4-BE49-F238E27FC236}">
              <a16:creationId xmlns:a16="http://schemas.microsoft.com/office/drawing/2014/main" id="{00000000-0008-0000-0100-00004F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6" name="연결선: 꺾임 335">
          <a:extLst>
            <a:ext uri="{FF2B5EF4-FFF2-40B4-BE49-F238E27FC236}">
              <a16:creationId xmlns:a16="http://schemas.microsoft.com/office/drawing/2014/main" id="{00000000-0008-0000-0100-000050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7" name="연결선: 꺾임 336">
          <a:extLst>
            <a:ext uri="{FF2B5EF4-FFF2-40B4-BE49-F238E27FC236}">
              <a16:creationId xmlns:a16="http://schemas.microsoft.com/office/drawing/2014/main" id="{00000000-0008-0000-0100-000051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8" name="연결선: 꺾임 337">
          <a:extLst>
            <a:ext uri="{FF2B5EF4-FFF2-40B4-BE49-F238E27FC236}">
              <a16:creationId xmlns:a16="http://schemas.microsoft.com/office/drawing/2014/main" id="{00000000-0008-0000-0100-000052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9" name="연결선: 꺾임 338">
          <a:extLst>
            <a:ext uri="{FF2B5EF4-FFF2-40B4-BE49-F238E27FC236}">
              <a16:creationId xmlns:a16="http://schemas.microsoft.com/office/drawing/2014/main" id="{00000000-0008-0000-0100-000053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0" name="연결선: 꺾임 339">
          <a:extLst>
            <a:ext uri="{FF2B5EF4-FFF2-40B4-BE49-F238E27FC236}">
              <a16:creationId xmlns:a16="http://schemas.microsoft.com/office/drawing/2014/main" id="{00000000-0008-0000-0100-000054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1" name="연결선: 꺾임 340">
          <a:extLst>
            <a:ext uri="{FF2B5EF4-FFF2-40B4-BE49-F238E27FC236}">
              <a16:creationId xmlns:a16="http://schemas.microsoft.com/office/drawing/2014/main" id="{00000000-0008-0000-0100-000055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2" name="연결선: 꺾임 341">
          <a:extLst>
            <a:ext uri="{FF2B5EF4-FFF2-40B4-BE49-F238E27FC236}">
              <a16:creationId xmlns:a16="http://schemas.microsoft.com/office/drawing/2014/main" id="{00000000-0008-0000-0100-000056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3" name="연결선: 꺾임 342">
          <a:extLst>
            <a:ext uri="{FF2B5EF4-FFF2-40B4-BE49-F238E27FC236}">
              <a16:creationId xmlns:a16="http://schemas.microsoft.com/office/drawing/2014/main" id="{00000000-0008-0000-0100-000057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4" name="연결선: 꺾임 343">
          <a:extLst>
            <a:ext uri="{FF2B5EF4-FFF2-40B4-BE49-F238E27FC236}">
              <a16:creationId xmlns:a16="http://schemas.microsoft.com/office/drawing/2014/main" id="{00000000-0008-0000-0100-000058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5" name="연결선: 꺾임 344">
          <a:extLst>
            <a:ext uri="{FF2B5EF4-FFF2-40B4-BE49-F238E27FC236}">
              <a16:creationId xmlns:a16="http://schemas.microsoft.com/office/drawing/2014/main" id="{00000000-0008-0000-0100-000059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6" name="연결선: 꺾임 345">
          <a:extLst>
            <a:ext uri="{FF2B5EF4-FFF2-40B4-BE49-F238E27FC236}">
              <a16:creationId xmlns:a16="http://schemas.microsoft.com/office/drawing/2014/main" id="{00000000-0008-0000-0100-00005A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7" name="연결선: 꺾임 346">
          <a:extLst>
            <a:ext uri="{FF2B5EF4-FFF2-40B4-BE49-F238E27FC236}">
              <a16:creationId xmlns:a16="http://schemas.microsoft.com/office/drawing/2014/main" id="{00000000-0008-0000-0100-00005B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8" name="연결선: 꺾임 347">
          <a:extLst>
            <a:ext uri="{FF2B5EF4-FFF2-40B4-BE49-F238E27FC236}">
              <a16:creationId xmlns:a16="http://schemas.microsoft.com/office/drawing/2014/main" id="{00000000-0008-0000-0100-00005C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9" name="연결선: 꺾임 348">
          <a:extLst>
            <a:ext uri="{FF2B5EF4-FFF2-40B4-BE49-F238E27FC236}">
              <a16:creationId xmlns:a16="http://schemas.microsoft.com/office/drawing/2014/main" id="{00000000-0008-0000-0100-00005D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0" name="연결선: 꺾임 349">
          <a:extLst>
            <a:ext uri="{FF2B5EF4-FFF2-40B4-BE49-F238E27FC236}">
              <a16:creationId xmlns:a16="http://schemas.microsoft.com/office/drawing/2014/main" id="{00000000-0008-0000-0100-00005E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1" name="연결선: 꺾임 350">
          <a:extLst>
            <a:ext uri="{FF2B5EF4-FFF2-40B4-BE49-F238E27FC236}">
              <a16:creationId xmlns:a16="http://schemas.microsoft.com/office/drawing/2014/main" id="{00000000-0008-0000-0100-00005F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2" name="연결선: 꺾임 351">
          <a:extLst>
            <a:ext uri="{FF2B5EF4-FFF2-40B4-BE49-F238E27FC236}">
              <a16:creationId xmlns:a16="http://schemas.microsoft.com/office/drawing/2014/main" id="{00000000-0008-0000-0100-000060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3" name="연결선: 꺾임 352">
          <a:extLst>
            <a:ext uri="{FF2B5EF4-FFF2-40B4-BE49-F238E27FC236}">
              <a16:creationId xmlns:a16="http://schemas.microsoft.com/office/drawing/2014/main" id="{00000000-0008-0000-0100-000061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4" name="연결선: 꺾임 353">
          <a:extLst>
            <a:ext uri="{FF2B5EF4-FFF2-40B4-BE49-F238E27FC236}">
              <a16:creationId xmlns:a16="http://schemas.microsoft.com/office/drawing/2014/main" id="{00000000-0008-0000-0100-000062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5" name="연결선: 꺾임 354">
          <a:extLst>
            <a:ext uri="{FF2B5EF4-FFF2-40B4-BE49-F238E27FC236}">
              <a16:creationId xmlns:a16="http://schemas.microsoft.com/office/drawing/2014/main" id="{00000000-0008-0000-0100-000063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6" name="연결선: 꺾임 355">
          <a:extLst>
            <a:ext uri="{FF2B5EF4-FFF2-40B4-BE49-F238E27FC236}">
              <a16:creationId xmlns:a16="http://schemas.microsoft.com/office/drawing/2014/main" id="{00000000-0008-0000-0100-000064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7" name="연결선: 꺾임 356">
          <a:extLst>
            <a:ext uri="{FF2B5EF4-FFF2-40B4-BE49-F238E27FC236}">
              <a16:creationId xmlns:a16="http://schemas.microsoft.com/office/drawing/2014/main" id="{00000000-0008-0000-0100-000065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8" name="연결선: 꺾임 357">
          <a:extLst>
            <a:ext uri="{FF2B5EF4-FFF2-40B4-BE49-F238E27FC236}">
              <a16:creationId xmlns:a16="http://schemas.microsoft.com/office/drawing/2014/main" id="{00000000-0008-0000-0100-000066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9" name="연결선: 꺾임 358">
          <a:extLst>
            <a:ext uri="{FF2B5EF4-FFF2-40B4-BE49-F238E27FC236}">
              <a16:creationId xmlns:a16="http://schemas.microsoft.com/office/drawing/2014/main" id="{00000000-0008-0000-0100-000067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0" name="연결선: 꺾임 359">
          <a:extLst>
            <a:ext uri="{FF2B5EF4-FFF2-40B4-BE49-F238E27FC236}">
              <a16:creationId xmlns:a16="http://schemas.microsoft.com/office/drawing/2014/main" id="{00000000-0008-0000-0100-000068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1" name="연결선: 꺾임 360">
          <a:extLst>
            <a:ext uri="{FF2B5EF4-FFF2-40B4-BE49-F238E27FC236}">
              <a16:creationId xmlns:a16="http://schemas.microsoft.com/office/drawing/2014/main" id="{00000000-0008-0000-0100-000069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2" name="연결선: 꺾임 361">
          <a:extLst>
            <a:ext uri="{FF2B5EF4-FFF2-40B4-BE49-F238E27FC236}">
              <a16:creationId xmlns:a16="http://schemas.microsoft.com/office/drawing/2014/main" id="{00000000-0008-0000-0100-00006A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3" name="연결선: 꺾임 362">
          <a:extLst>
            <a:ext uri="{FF2B5EF4-FFF2-40B4-BE49-F238E27FC236}">
              <a16:creationId xmlns:a16="http://schemas.microsoft.com/office/drawing/2014/main" id="{00000000-0008-0000-0100-00006B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4" name="연결선: 꺾임 363">
          <a:extLst>
            <a:ext uri="{FF2B5EF4-FFF2-40B4-BE49-F238E27FC236}">
              <a16:creationId xmlns:a16="http://schemas.microsoft.com/office/drawing/2014/main" id="{00000000-0008-0000-0100-00006C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5" name="연결선: 꺾임 364">
          <a:extLst>
            <a:ext uri="{FF2B5EF4-FFF2-40B4-BE49-F238E27FC236}">
              <a16:creationId xmlns:a16="http://schemas.microsoft.com/office/drawing/2014/main" id="{00000000-0008-0000-0100-00006D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6" name="연결선: 꺾임 365">
          <a:extLst>
            <a:ext uri="{FF2B5EF4-FFF2-40B4-BE49-F238E27FC236}">
              <a16:creationId xmlns:a16="http://schemas.microsoft.com/office/drawing/2014/main" id="{00000000-0008-0000-0100-00006E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7" name="연결선: 꺾임 366">
          <a:extLst>
            <a:ext uri="{FF2B5EF4-FFF2-40B4-BE49-F238E27FC236}">
              <a16:creationId xmlns:a16="http://schemas.microsoft.com/office/drawing/2014/main" id="{00000000-0008-0000-0100-00006F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8" name="연결선: 꺾임 367">
          <a:extLst>
            <a:ext uri="{FF2B5EF4-FFF2-40B4-BE49-F238E27FC236}">
              <a16:creationId xmlns:a16="http://schemas.microsoft.com/office/drawing/2014/main" id="{00000000-0008-0000-0100-000070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9" name="연결선: 꺾임 368">
          <a:extLst>
            <a:ext uri="{FF2B5EF4-FFF2-40B4-BE49-F238E27FC236}">
              <a16:creationId xmlns:a16="http://schemas.microsoft.com/office/drawing/2014/main" id="{00000000-0008-0000-0100-000071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0" name="연결선: 꺾임 369">
          <a:extLst>
            <a:ext uri="{FF2B5EF4-FFF2-40B4-BE49-F238E27FC236}">
              <a16:creationId xmlns:a16="http://schemas.microsoft.com/office/drawing/2014/main" id="{00000000-0008-0000-0100-000072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1" name="연결선: 꺾임 370">
          <a:extLst>
            <a:ext uri="{FF2B5EF4-FFF2-40B4-BE49-F238E27FC236}">
              <a16:creationId xmlns:a16="http://schemas.microsoft.com/office/drawing/2014/main" id="{00000000-0008-0000-0100-000073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2" name="연결선: 꺾임 371">
          <a:extLst>
            <a:ext uri="{FF2B5EF4-FFF2-40B4-BE49-F238E27FC236}">
              <a16:creationId xmlns:a16="http://schemas.microsoft.com/office/drawing/2014/main" id="{00000000-0008-0000-0100-000074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3" name="연결선: 꺾임 372">
          <a:extLst>
            <a:ext uri="{FF2B5EF4-FFF2-40B4-BE49-F238E27FC236}">
              <a16:creationId xmlns:a16="http://schemas.microsoft.com/office/drawing/2014/main" id="{00000000-0008-0000-0100-000075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4" name="연결선: 꺾임 373">
          <a:extLst>
            <a:ext uri="{FF2B5EF4-FFF2-40B4-BE49-F238E27FC236}">
              <a16:creationId xmlns:a16="http://schemas.microsoft.com/office/drawing/2014/main" id="{00000000-0008-0000-0100-000076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5" name="연결선: 꺾임 374">
          <a:extLst>
            <a:ext uri="{FF2B5EF4-FFF2-40B4-BE49-F238E27FC236}">
              <a16:creationId xmlns:a16="http://schemas.microsoft.com/office/drawing/2014/main" id="{00000000-0008-0000-0100-000077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6" name="연결선: 꺾임 375">
          <a:extLst>
            <a:ext uri="{FF2B5EF4-FFF2-40B4-BE49-F238E27FC236}">
              <a16:creationId xmlns:a16="http://schemas.microsoft.com/office/drawing/2014/main" id="{00000000-0008-0000-0100-000078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7" name="연결선: 꺾임 376">
          <a:extLst>
            <a:ext uri="{FF2B5EF4-FFF2-40B4-BE49-F238E27FC236}">
              <a16:creationId xmlns:a16="http://schemas.microsoft.com/office/drawing/2014/main" id="{00000000-0008-0000-0100-000079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8" name="연결선: 꺾임 377">
          <a:extLst>
            <a:ext uri="{FF2B5EF4-FFF2-40B4-BE49-F238E27FC236}">
              <a16:creationId xmlns:a16="http://schemas.microsoft.com/office/drawing/2014/main" id="{00000000-0008-0000-0100-00007A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9" name="연결선: 꺾임 378">
          <a:extLst>
            <a:ext uri="{FF2B5EF4-FFF2-40B4-BE49-F238E27FC236}">
              <a16:creationId xmlns:a16="http://schemas.microsoft.com/office/drawing/2014/main" id="{00000000-0008-0000-0100-00007B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0" name="연결선: 꺾임 379">
          <a:extLst>
            <a:ext uri="{FF2B5EF4-FFF2-40B4-BE49-F238E27FC236}">
              <a16:creationId xmlns:a16="http://schemas.microsoft.com/office/drawing/2014/main" id="{00000000-0008-0000-0100-00007C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1" name="연결선: 꺾임 380">
          <a:extLst>
            <a:ext uri="{FF2B5EF4-FFF2-40B4-BE49-F238E27FC236}">
              <a16:creationId xmlns:a16="http://schemas.microsoft.com/office/drawing/2014/main" id="{00000000-0008-0000-0100-00007D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2" name="연결선: 꺾임 381">
          <a:extLst>
            <a:ext uri="{FF2B5EF4-FFF2-40B4-BE49-F238E27FC236}">
              <a16:creationId xmlns:a16="http://schemas.microsoft.com/office/drawing/2014/main" id="{00000000-0008-0000-0100-00007E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3" name="연결선: 꺾임 382">
          <a:extLst>
            <a:ext uri="{FF2B5EF4-FFF2-40B4-BE49-F238E27FC236}">
              <a16:creationId xmlns:a16="http://schemas.microsoft.com/office/drawing/2014/main" id="{00000000-0008-0000-0100-00007F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4" name="연결선: 꺾임 383">
          <a:extLst>
            <a:ext uri="{FF2B5EF4-FFF2-40B4-BE49-F238E27FC236}">
              <a16:creationId xmlns:a16="http://schemas.microsoft.com/office/drawing/2014/main" id="{00000000-0008-0000-0100-000080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5" name="연결선: 꺾임 384">
          <a:extLst>
            <a:ext uri="{FF2B5EF4-FFF2-40B4-BE49-F238E27FC236}">
              <a16:creationId xmlns:a16="http://schemas.microsoft.com/office/drawing/2014/main" id="{00000000-0008-0000-0100-000081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6" name="연결선: 꺾임 385">
          <a:extLst>
            <a:ext uri="{FF2B5EF4-FFF2-40B4-BE49-F238E27FC236}">
              <a16:creationId xmlns:a16="http://schemas.microsoft.com/office/drawing/2014/main" id="{00000000-0008-0000-0100-000082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7" name="연결선: 꺾임 386">
          <a:extLst>
            <a:ext uri="{FF2B5EF4-FFF2-40B4-BE49-F238E27FC236}">
              <a16:creationId xmlns:a16="http://schemas.microsoft.com/office/drawing/2014/main" id="{00000000-0008-0000-0100-000083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8" name="연결선: 꺾임 387">
          <a:extLst>
            <a:ext uri="{FF2B5EF4-FFF2-40B4-BE49-F238E27FC236}">
              <a16:creationId xmlns:a16="http://schemas.microsoft.com/office/drawing/2014/main" id="{00000000-0008-0000-0100-000084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9" name="연결선: 꺾임 388">
          <a:extLst>
            <a:ext uri="{FF2B5EF4-FFF2-40B4-BE49-F238E27FC236}">
              <a16:creationId xmlns:a16="http://schemas.microsoft.com/office/drawing/2014/main" id="{00000000-0008-0000-0100-000085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0" name="연결선: 꺾임 389">
          <a:extLst>
            <a:ext uri="{FF2B5EF4-FFF2-40B4-BE49-F238E27FC236}">
              <a16:creationId xmlns:a16="http://schemas.microsoft.com/office/drawing/2014/main" id="{00000000-0008-0000-0100-000086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1" name="연결선: 꺾임 390">
          <a:extLst>
            <a:ext uri="{FF2B5EF4-FFF2-40B4-BE49-F238E27FC236}">
              <a16:creationId xmlns:a16="http://schemas.microsoft.com/office/drawing/2014/main" id="{00000000-0008-0000-0100-000087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2" name="연결선: 꺾임 391">
          <a:extLst>
            <a:ext uri="{FF2B5EF4-FFF2-40B4-BE49-F238E27FC236}">
              <a16:creationId xmlns:a16="http://schemas.microsoft.com/office/drawing/2014/main" id="{00000000-0008-0000-0100-000088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3" name="연결선: 꺾임 392">
          <a:extLst>
            <a:ext uri="{FF2B5EF4-FFF2-40B4-BE49-F238E27FC236}">
              <a16:creationId xmlns:a16="http://schemas.microsoft.com/office/drawing/2014/main" id="{00000000-0008-0000-0100-000089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4" name="연결선: 꺾임 393">
          <a:extLst>
            <a:ext uri="{FF2B5EF4-FFF2-40B4-BE49-F238E27FC236}">
              <a16:creationId xmlns:a16="http://schemas.microsoft.com/office/drawing/2014/main" id="{00000000-0008-0000-0100-00008A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5" name="연결선: 꺾임 394">
          <a:extLst>
            <a:ext uri="{FF2B5EF4-FFF2-40B4-BE49-F238E27FC236}">
              <a16:creationId xmlns:a16="http://schemas.microsoft.com/office/drawing/2014/main" id="{00000000-0008-0000-0100-00008B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6" name="연결선: 꺾임 395">
          <a:extLst>
            <a:ext uri="{FF2B5EF4-FFF2-40B4-BE49-F238E27FC236}">
              <a16:creationId xmlns:a16="http://schemas.microsoft.com/office/drawing/2014/main" id="{00000000-0008-0000-0100-00008C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7" name="연결선: 꺾임 396">
          <a:extLst>
            <a:ext uri="{FF2B5EF4-FFF2-40B4-BE49-F238E27FC236}">
              <a16:creationId xmlns:a16="http://schemas.microsoft.com/office/drawing/2014/main" id="{00000000-0008-0000-0100-00008D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8" name="연결선: 꺾임 397">
          <a:extLst>
            <a:ext uri="{FF2B5EF4-FFF2-40B4-BE49-F238E27FC236}">
              <a16:creationId xmlns:a16="http://schemas.microsoft.com/office/drawing/2014/main" id="{00000000-0008-0000-0100-00008E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9" name="연결선: 꺾임 398">
          <a:extLst>
            <a:ext uri="{FF2B5EF4-FFF2-40B4-BE49-F238E27FC236}">
              <a16:creationId xmlns:a16="http://schemas.microsoft.com/office/drawing/2014/main" id="{00000000-0008-0000-0100-00008F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0" name="연결선: 꺾임 399">
          <a:extLst>
            <a:ext uri="{FF2B5EF4-FFF2-40B4-BE49-F238E27FC236}">
              <a16:creationId xmlns:a16="http://schemas.microsoft.com/office/drawing/2014/main" id="{00000000-0008-0000-0100-000090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1" name="연결선: 꺾임 400">
          <a:extLst>
            <a:ext uri="{FF2B5EF4-FFF2-40B4-BE49-F238E27FC236}">
              <a16:creationId xmlns:a16="http://schemas.microsoft.com/office/drawing/2014/main" id="{00000000-0008-0000-0100-000091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2" name="연결선: 꺾임 401">
          <a:extLst>
            <a:ext uri="{FF2B5EF4-FFF2-40B4-BE49-F238E27FC236}">
              <a16:creationId xmlns:a16="http://schemas.microsoft.com/office/drawing/2014/main" id="{00000000-0008-0000-0100-000092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3" name="연결선: 꺾임 402">
          <a:extLst>
            <a:ext uri="{FF2B5EF4-FFF2-40B4-BE49-F238E27FC236}">
              <a16:creationId xmlns:a16="http://schemas.microsoft.com/office/drawing/2014/main" id="{00000000-0008-0000-0100-000093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4" name="연결선: 꺾임 403">
          <a:extLst>
            <a:ext uri="{FF2B5EF4-FFF2-40B4-BE49-F238E27FC236}">
              <a16:creationId xmlns:a16="http://schemas.microsoft.com/office/drawing/2014/main" id="{00000000-0008-0000-0100-000094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5" name="연결선: 꺾임 404">
          <a:extLst>
            <a:ext uri="{FF2B5EF4-FFF2-40B4-BE49-F238E27FC236}">
              <a16:creationId xmlns:a16="http://schemas.microsoft.com/office/drawing/2014/main" id="{00000000-0008-0000-0100-000095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6" name="연결선: 꺾임 405">
          <a:extLst>
            <a:ext uri="{FF2B5EF4-FFF2-40B4-BE49-F238E27FC236}">
              <a16:creationId xmlns:a16="http://schemas.microsoft.com/office/drawing/2014/main" id="{00000000-0008-0000-0100-000096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7" name="연결선: 꺾임 406">
          <a:extLst>
            <a:ext uri="{FF2B5EF4-FFF2-40B4-BE49-F238E27FC236}">
              <a16:creationId xmlns:a16="http://schemas.microsoft.com/office/drawing/2014/main" id="{00000000-0008-0000-0100-000097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8" name="연결선: 꺾임 407">
          <a:extLst>
            <a:ext uri="{FF2B5EF4-FFF2-40B4-BE49-F238E27FC236}">
              <a16:creationId xmlns:a16="http://schemas.microsoft.com/office/drawing/2014/main" id="{00000000-0008-0000-0100-000098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9" name="연결선: 꺾임 408">
          <a:extLst>
            <a:ext uri="{FF2B5EF4-FFF2-40B4-BE49-F238E27FC236}">
              <a16:creationId xmlns:a16="http://schemas.microsoft.com/office/drawing/2014/main" id="{00000000-0008-0000-0100-000099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0" name="연결선: 꺾임 409">
          <a:extLst>
            <a:ext uri="{FF2B5EF4-FFF2-40B4-BE49-F238E27FC236}">
              <a16:creationId xmlns:a16="http://schemas.microsoft.com/office/drawing/2014/main" id="{00000000-0008-0000-0100-00009A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1" name="연결선: 꺾임 410">
          <a:extLst>
            <a:ext uri="{FF2B5EF4-FFF2-40B4-BE49-F238E27FC236}">
              <a16:creationId xmlns:a16="http://schemas.microsoft.com/office/drawing/2014/main" id="{00000000-0008-0000-0100-00009B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2" name="연결선: 꺾임 411">
          <a:extLst>
            <a:ext uri="{FF2B5EF4-FFF2-40B4-BE49-F238E27FC236}">
              <a16:creationId xmlns:a16="http://schemas.microsoft.com/office/drawing/2014/main" id="{00000000-0008-0000-0100-00009C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3" name="연결선: 꺾임 412">
          <a:extLst>
            <a:ext uri="{FF2B5EF4-FFF2-40B4-BE49-F238E27FC236}">
              <a16:creationId xmlns:a16="http://schemas.microsoft.com/office/drawing/2014/main" id="{00000000-0008-0000-0100-00009D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4" name="연결선: 꺾임 413">
          <a:extLst>
            <a:ext uri="{FF2B5EF4-FFF2-40B4-BE49-F238E27FC236}">
              <a16:creationId xmlns:a16="http://schemas.microsoft.com/office/drawing/2014/main" id="{00000000-0008-0000-0100-00009E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5" name="연결선: 꺾임 414">
          <a:extLst>
            <a:ext uri="{FF2B5EF4-FFF2-40B4-BE49-F238E27FC236}">
              <a16:creationId xmlns:a16="http://schemas.microsoft.com/office/drawing/2014/main" id="{00000000-0008-0000-0100-00009F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9" name="연결선: 꺾임 2438">
          <a:extLst>
            <a:ext uri="{FF2B5EF4-FFF2-40B4-BE49-F238E27FC236}">
              <a16:creationId xmlns:a16="http://schemas.microsoft.com/office/drawing/2014/main" id="{00000000-0008-0000-0100-000087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0" name="연결선: 꺾임 2439">
          <a:extLst>
            <a:ext uri="{FF2B5EF4-FFF2-40B4-BE49-F238E27FC236}">
              <a16:creationId xmlns:a16="http://schemas.microsoft.com/office/drawing/2014/main" id="{00000000-0008-0000-0100-000088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1" name="연결선: 꺾임 2440">
          <a:extLst>
            <a:ext uri="{FF2B5EF4-FFF2-40B4-BE49-F238E27FC236}">
              <a16:creationId xmlns:a16="http://schemas.microsoft.com/office/drawing/2014/main" id="{00000000-0008-0000-0100-000089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2" name="연결선: 꺾임 2441">
          <a:extLst>
            <a:ext uri="{FF2B5EF4-FFF2-40B4-BE49-F238E27FC236}">
              <a16:creationId xmlns:a16="http://schemas.microsoft.com/office/drawing/2014/main" id="{00000000-0008-0000-0100-00008A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3" name="연결선: 꺾임 2442">
          <a:extLst>
            <a:ext uri="{FF2B5EF4-FFF2-40B4-BE49-F238E27FC236}">
              <a16:creationId xmlns:a16="http://schemas.microsoft.com/office/drawing/2014/main" id="{00000000-0008-0000-0100-00008B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4" name="연결선: 꺾임 2443">
          <a:extLst>
            <a:ext uri="{FF2B5EF4-FFF2-40B4-BE49-F238E27FC236}">
              <a16:creationId xmlns:a16="http://schemas.microsoft.com/office/drawing/2014/main" id="{00000000-0008-0000-0100-00008C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5" name="연결선: 꺾임 2444">
          <a:extLst>
            <a:ext uri="{FF2B5EF4-FFF2-40B4-BE49-F238E27FC236}">
              <a16:creationId xmlns:a16="http://schemas.microsoft.com/office/drawing/2014/main" id="{00000000-0008-0000-0100-00008D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6" name="연결선: 꺾임 2445">
          <a:extLst>
            <a:ext uri="{FF2B5EF4-FFF2-40B4-BE49-F238E27FC236}">
              <a16:creationId xmlns:a16="http://schemas.microsoft.com/office/drawing/2014/main" id="{00000000-0008-0000-0100-00008E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7" name="연결선: 꺾임 2446">
          <a:extLst>
            <a:ext uri="{FF2B5EF4-FFF2-40B4-BE49-F238E27FC236}">
              <a16:creationId xmlns:a16="http://schemas.microsoft.com/office/drawing/2014/main" id="{00000000-0008-0000-0100-00008F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8" name="연결선: 꺾임 2447">
          <a:extLst>
            <a:ext uri="{FF2B5EF4-FFF2-40B4-BE49-F238E27FC236}">
              <a16:creationId xmlns:a16="http://schemas.microsoft.com/office/drawing/2014/main" id="{00000000-0008-0000-0100-000090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9" name="연결선: 꺾임 2448">
          <a:extLst>
            <a:ext uri="{FF2B5EF4-FFF2-40B4-BE49-F238E27FC236}">
              <a16:creationId xmlns:a16="http://schemas.microsoft.com/office/drawing/2014/main" id="{00000000-0008-0000-0100-000091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0" name="연결선: 꺾임 2449">
          <a:extLst>
            <a:ext uri="{FF2B5EF4-FFF2-40B4-BE49-F238E27FC236}">
              <a16:creationId xmlns:a16="http://schemas.microsoft.com/office/drawing/2014/main" id="{00000000-0008-0000-0100-000092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1" name="연결선: 꺾임 2450">
          <a:extLst>
            <a:ext uri="{FF2B5EF4-FFF2-40B4-BE49-F238E27FC236}">
              <a16:creationId xmlns:a16="http://schemas.microsoft.com/office/drawing/2014/main" id="{00000000-0008-0000-0100-000093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2" name="연결선: 꺾임 2451">
          <a:extLst>
            <a:ext uri="{FF2B5EF4-FFF2-40B4-BE49-F238E27FC236}">
              <a16:creationId xmlns:a16="http://schemas.microsoft.com/office/drawing/2014/main" id="{00000000-0008-0000-0100-000094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3" name="연결선: 꺾임 2452">
          <a:extLst>
            <a:ext uri="{FF2B5EF4-FFF2-40B4-BE49-F238E27FC236}">
              <a16:creationId xmlns:a16="http://schemas.microsoft.com/office/drawing/2014/main" id="{00000000-0008-0000-0100-000095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4" name="연결선: 꺾임 2453">
          <a:extLst>
            <a:ext uri="{FF2B5EF4-FFF2-40B4-BE49-F238E27FC236}">
              <a16:creationId xmlns:a16="http://schemas.microsoft.com/office/drawing/2014/main" id="{00000000-0008-0000-0100-000096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5" name="연결선: 꺾임 2454">
          <a:extLst>
            <a:ext uri="{FF2B5EF4-FFF2-40B4-BE49-F238E27FC236}">
              <a16:creationId xmlns:a16="http://schemas.microsoft.com/office/drawing/2014/main" id="{00000000-0008-0000-0100-000097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6" name="연결선: 꺾임 2455">
          <a:extLst>
            <a:ext uri="{FF2B5EF4-FFF2-40B4-BE49-F238E27FC236}">
              <a16:creationId xmlns:a16="http://schemas.microsoft.com/office/drawing/2014/main" id="{00000000-0008-0000-0100-000098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7" name="연결선: 꺾임 2456">
          <a:extLst>
            <a:ext uri="{FF2B5EF4-FFF2-40B4-BE49-F238E27FC236}">
              <a16:creationId xmlns:a16="http://schemas.microsoft.com/office/drawing/2014/main" id="{00000000-0008-0000-0100-000099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7" name="연결선: 꺾임 18016">
          <a:extLst>
            <a:ext uri="{FF2B5EF4-FFF2-40B4-BE49-F238E27FC236}">
              <a16:creationId xmlns:a16="http://schemas.microsoft.com/office/drawing/2014/main" id="{00000000-0008-0000-0100-000061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8" name="연결선: 꺾임 18017">
          <a:extLst>
            <a:ext uri="{FF2B5EF4-FFF2-40B4-BE49-F238E27FC236}">
              <a16:creationId xmlns:a16="http://schemas.microsoft.com/office/drawing/2014/main" id="{00000000-0008-0000-0100-000062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6" name="연결선: 꺾임 55">
          <a:extLst>
            <a:ext uri="{FF2B5EF4-FFF2-40B4-BE49-F238E27FC236}">
              <a16:creationId xmlns:a16="http://schemas.microsoft.com/office/drawing/2014/main" id="{00000000-0008-0000-0100-000038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7" name="연결선: 꺾임 56">
          <a:extLst>
            <a:ext uri="{FF2B5EF4-FFF2-40B4-BE49-F238E27FC236}">
              <a16:creationId xmlns:a16="http://schemas.microsoft.com/office/drawing/2014/main" id="{00000000-0008-0000-0100-000039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8" name="연결선: 꺾임 57">
          <a:extLst>
            <a:ext uri="{FF2B5EF4-FFF2-40B4-BE49-F238E27FC236}">
              <a16:creationId xmlns:a16="http://schemas.microsoft.com/office/drawing/2014/main" id="{00000000-0008-0000-0100-00003A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9" name="연결선: 꺾임 58">
          <a:extLst>
            <a:ext uri="{FF2B5EF4-FFF2-40B4-BE49-F238E27FC236}">
              <a16:creationId xmlns:a16="http://schemas.microsoft.com/office/drawing/2014/main" id="{00000000-0008-0000-0100-00003B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8" name="연결선: 꺾임 17987">
          <a:extLst>
            <a:ext uri="{FF2B5EF4-FFF2-40B4-BE49-F238E27FC236}">
              <a16:creationId xmlns:a16="http://schemas.microsoft.com/office/drawing/2014/main" id="{00000000-0008-0000-0100-000044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9" name="연결선: 꺾임 17988">
          <a:extLst>
            <a:ext uri="{FF2B5EF4-FFF2-40B4-BE49-F238E27FC236}">
              <a16:creationId xmlns:a16="http://schemas.microsoft.com/office/drawing/2014/main" id="{00000000-0008-0000-0100-000045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0" name="연결선: 꺾임 17989">
          <a:extLst>
            <a:ext uri="{FF2B5EF4-FFF2-40B4-BE49-F238E27FC236}">
              <a16:creationId xmlns:a16="http://schemas.microsoft.com/office/drawing/2014/main" id="{00000000-0008-0000-0100-000046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1" name="연결선: 꺾임 17990">
          <a:extLst>
            <a:ext uri="{FF2B5EF4-FFF2-40B4-BE49-F238E27FC236}">
              <a16:creationId xmlns:a16="http://schemas.microsoft.com/office/drawing/2014/main" id="{00000000-0008-0000-0100-000047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0" name="연결선: 꺾임 17999">
          <a:extLst>
            <a:ext uri="{FF2B5EF4-FFF2-40B4-BE49-F238E27FC236}">
              <a16:creationId xmlns:a16="http://schemas.microsoft.com/office/drawing/2014/main" id="{00000000-0008-0000-0100-000050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1" name="연결선: 꺾임 18000">
          <a:extLst>
            <a:ext uri="{FF2B5EF4-FFF2-40B4-BE49-F238E27FC236}">
              <a16:creationId xmlns:a16="http://schemas.microsoft.com/office/drawing/2014/main" id="{00000000-0008-0000-0100-000051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2" name="연결선: 꺾임 18001">
          <a:extLst>
            <a:ext uri="{FF2B5EF4-FFF2-40B4-BE49-F238E27FC236}">
              <a16:creationId xmlns:a16="http://schemas.microsoft.com/office/drawing/2014/main" id="{00000000-0008-0000-0100-000052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3" name="연결선: 꺾임 18002">
          <a:extLst>
            <a:ext uri="{FF2B5EF4-FFF2-40B4-BE49-F238E27FC236}">
              <a16:creationId xmlns:a16="http://schemas.microsoft.com/office/drawing/2014/main" id="{00000000-0008-0000-0100-000053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0" name="연결선: 꺾임 9">
          <a:extLst>
            <a:ext uri="{FF2B5EF4-FFF2-40B4-BE49-F238E27FC236}">
              <a16:creationId xmlns:a16="http://schemas.microsoft.com/office/drawing/2014/main" id="{00000000-0008-0000-0100-00000A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1" name="연결선: 꺾임 10">
          <a:extLst>
            <a:ext uri="{FF2B5EF4-FFF2-40B4-BE49-F238E27FC236}">
              <a16:creationId xmlns:a16="http://schemas.microsoft.com/office/drawing/2014/main" id="{00000000-0008-0000-0100-00000B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2" name="연결선: 꺾임 11">
          <a:extLst>
            <a:ext uri="{FF2B5EF4-FFF2-40B4-BE49-F238E27FC236}">
              <a16:creationId xmlns:a16="http://schemas.microsoft.com/office/drawing/2014/main" id="{00000000-0008-0000-0100-00000C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 name="연결선: 꺾임 12">
          <a:extLst>
            <a:ext uri="{FF2B5EF4-FFF2-40B4-BE49-F238E27FC236}">
              <a16:creationId xmlns:a16="http://schemas.microsoft.com/office/drawing/2014/main" id="{00000000-0008-0000-0100-00000D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 name="연결선: 꺾임 21">
          <a:extLst>
            <a:ext uri="{FF2B5EF4-FFF2-40B4-BE49-F238E27FC236}">
              <a16:creationId xmlns:a16="http://schemas.microsoft.com/office/drawing/2014/main" id="{00000000-0008-0000-0100-000016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 name="연결선: 꺾임 22">
          <a:extLst>
            <a:ext uri="{FF2B5EF4-FFF2-40B4-BE49-F238E27FC236}">
              <a16:creationId xmlns:a16="http://schemas.microsoft.com/office/drawing/2014/main" id="{00000000-0008-0000-0100-000017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 name="연결선: 꺾임 23">
          <a:extLst>
            <a:ext uri="{FF2B5EF4-FFF2-40B4-BE49-F238E27FC236}">
              <a16:creationId xmlns:a16="http://schemas.microsoft.com/office/drawing/2014/main" id="{00000000-0008-0000-0100-000018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 name="연결선: 꺾임 24">
          <a:extLst>
            <a:ext uri="{FF2B5EF4-FFF2-40B4-BE49-F238E27FC236}">
              <a16:creationId xmlns:a16="http://schemas.microsoft.com/office/drawing/2014/main" id="{00000000-0008-0000-0100-000019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 name="연결선: 꺾임 33">
          <a:extLst>
            <a:ext uri="{FF2B5EF4-FFF2-40B4-BE49-F238E27FC236}">
              <a16:creationId xmlns:a16="http://schemas.microsoft.com/office/drawing/2014/main" id="{00000000-0008-0000-0100-000022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 name="연결선: 꺾임 34">
          <a:extLst>
            <a:ext uri="{FF2B5EF4-FFF2-40B4-BE49-F238E27FC236}">
              <a16:creationId xmlns:a16="http://schemas.microsoft.com/office/drawing/2014/main" id="{00000000-0008-0000-0100-000023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 name="연결선: 꺾임 35">
          <a:extLst>
            <a:ext uri="{FF2B5EF4-FFF2-40B4-BE49-F238E27FC236}">
              <a16:creationId xmlns:a16="http://schemas.microsoft.com/office/drawing/2014/main" id="{00000000-0008-0000-0100-000024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 name="연결선: 꺾임 36">
          <a:extLst>
            <a:ext uri="{FF2B5EF4-FFF2-40B4-BE49-F238E27FC236}">
              <a16:creationId xmlns:a16="http://schemas.microsoft.com/office/drawing/2014/main" id="{00000000-0008-0000-0100-000025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6" name="연결선: 꺾임 45">
          <a:extLst>
            <a:ext uri="{FF2B5EF4-FFF2-40B4-BE49-F238E27FC236}">
              <a16:creationId xmlns:a16="http://schemas.microsoft.com/office/drawing/2014/main" id="{00000000-0008-0000-0100-00002E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8" name="연결선: 꺾임 47">
          <a:extLst>
            <a:ext uri="{FF2B5EF4-FFF2-40B4-BE49-F238E27FC236}">
              <a16:creationId xmlns:a16="http://schemas.microsoft.com/office/drawing/2014/main" id="{00000000-0008-0000-0100-000030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9" name="연결선: 꺾임 48">
          <a:extLst>
            <a:ext uri="{FF2B5EF4-FFF2-40B4-BE49-F238E27FC236}">
              <a16:creationId xmlns:a16="http://schemas.microsoft.com/office/drawing/2014/main" id="{00000000-0008-0000-0100-000031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0" name="연결선: 꺾임 49">
          <a:extLst>
            <a:ext uri="{FF2B5EF4-FFF2-40B4-BE49-F238E27FC236}">
              <a16:creationId xmlns:a16="http://schemas.microsoft.com/office/drawing/2014/main" id="{00000000-0008-0000-0100-000032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3" name="연결선: 꺾임 62">
          <a:extLst>
            <a:ext uri="{FF2B5EF4-FFF2-40B4-BE49-F238E27FC236}">
              <a16:creationId xmlns:a16="http://schemas.microsoft.com/office/drawing/2014/main" id="{00000000-0008-0000-0100-00003F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4" name="연결선: 꺾임 17983">
          <a:extLst>
            <a:ext uri="{FF2B5EF4-FFF2-40B4-BE49-F238E27FC236}">
              <a16:creationId xmlns:a16="http://schemas.microsoft.com/office/drawing/2014/main" id="{00000000-0008-0000-0100-000040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5" name="연결선: 꺾임 17984">
          <a:extLst>
            <a:ext uri="{FF2B5EF4-FFF2-40B4-BE49-F238E27FC236}">
              <a16:creationId xmlns:a16="http://schemas.microsoft.com/office/drawing/2014/main" id="{00000000-0008-0000-0100-000041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6" name="연결선: 꺾임 17985">
          <a:extLst>
            <a:ext uri="{FF2B5EF4-FFF2-40B4-BE49-F238E27FC236}">
              <a16:creationId xmlns:a16="http://schemas.microsoft.com/office/drawing/2014/main" id="{00000000-0008-0000-0100-000042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1" name="연결선: 꺾임 18010">
          <a:extLst>
            <a:ext uri="{FF2B5EF4-FFF2-40B4-BE49-F238E27FC236}">
              <a16:creationId xmlns:a16="http://schemas.microsoft.com/office/drawing/2014/main" id="{00000000-0008-0000-0100-00005B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2" name="연결선: 꺾임 18011">
          <a:extLst>
            <a:ext uri="{FF2B5EF4-FFF2-40B4-BE49-F238E27FC236}">
              <a16:creationId xmlns:a16="http://schemas.microsoft.com/office/drawing/2014/main" id="{00000000-0008-0000-0100-00005C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3" name="연결선: 꺾임 18012">
          <a:extLst>
            <a:ext uri="{FF2B5EF4-FFF2-40B4-BE49-F238E27FC236}">
              <a16:creationId xmlns:a16="http://schemas.microsoft.com/office/drawing/2014/main" id="{00000000-0008-0000-0100-00005D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4" name="연결선: 꺾임 18013">
          <a:extLst>
            <a:ext uri="{FF2B5EF4-FFF2-40B4-BE49-F238E27FC236}">
              <a16:creationId xmlns:a16="http://schemas.microsoft.com/office/drawing/2014/main" id="{00000000-0008-0000-0100-00005E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5" name="연결선: 꺾임 18024">
          <a:extLst>
            <a:ext uri="{FF2B5EF4-FFF2-40B4-BE49-F238E27FC236}">
              <a16:creationId xmlns:a16="http://schemas.microsoft.com/office/drawing/2014/main" id="{00000000-0008-0000-0100-000069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6" name="연결선: 꺾임 18025">
          <a:extLst>
            <a:ext uri="{FF2B5EF4-FFF2-40B4-BE49-F238E27FC236}">
              <a16:creationId xmlns:a16="http://schemas.microsoft.com/office/drawing/2014/main" id="{00000000-0008-0000-0100-00006A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7" name="연결선: 꺾임 18026">
          <a:extLst>
            <a:ext uri="{FF2B5EF4-FFF2-40B4-BE49-F238E27FC236}">
              <a16:creationId xmlns:a16="http://schemas.microsoft.com/office/drawing/2014/main" id="{00000000-0008-0000-0100-00006B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8" name="연결선: 꺾임 18027">
          <a:extLst>
            <a:ext uri="{FF2B5EF4-FFF2-40B4-BE49-F238E27FC236}">
              <a16:creationId xmlns:a16="http://schemas.microsoft.com/office/drawing/2014/main" id="{00000000-0008-0000-0100-00006C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7" name="연결선: 꺾임 18036">
          <a:extLst>
            <a:ext uri="{FF2B5EF4-FFF2-40B4-BE49-F238E27FC236}">
              <a16:creationId xmlns:a16="http://schemas.microsoft.com/office/drawing/2014/main" id="{00000000-0008-0000-0100-000075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8" name="연결선: 꺾임 18037">
          <a:extLst>
            <a:ext uri="{FF2B5EF4-FFF2-40B4-BE49-F238E27FC236}">
              <a16:creationId xmlns:a16="http://schemas.microsoft.com/office/drawing/2014/main" id="{00000000-0008-0000-0100-000076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9" name="연결선: 꺾임 18038">
          <a:extLst>
            <a:ext uri="{FF2B5EF4-FFF2-40B4-BE49-F238E27FC236}">
              <a16:creationId xmlns:a16="http://schemas.microsoft.com/office/drawing/2014/main" id="{00000000-0008-0000-0100-000077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0" name="연결선: 꺾임 18039">
          <a:extLst>
            <a:ext uri="{FF2B5EF4-FFF2-40B4-BE49-F238E27FC236}">
              <a16:creationId xmlns:a16="http://schemas.microsoft.com/office/drawing/2014/main" id="{00000000-0008-0000-0100-000078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29" name="연결선: 꺾임 128">
          <a:extLst>
            <a:ext uri="{FF2B5EF4-FFF2-40B4-BE49-F238E27FC236}">
              <a16:creationId xmlns:a16="http://schemas.microsoft.com/office/drawing/2014/main" id="{00000000-0008-0000-0100-000081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0" name="연결선: 꺾임 129">
          <a:extLst>
            <a:ext uri="{FF2B5EF4-FFF2-40B4-BE49-F238E27FC236}">
              <a16:creationId xmlns:a16="http://schemas.microsoft.com/office/drawing/2014/main" id="{00000000-0008-0000-0100-000082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1" name="연결선: 꺾임 130">
          <a:extLst>
            <a:ext uri="{FF2B5EF4-FFF2-40B4-BE49-F238E27FC236}">
              <a16:creationId xmlns:a16="http://schemas.microsoft.com/office/drawing/2014/main" id="{00000000-0008-0000-0100-000083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2" name="연결선: 꺾임 131">
          <a:extLst>
            <a:ext uri="{FF2B5EF4-FFF2-40B4-BE49-F238E27FC236}">
              <a16:creationId xmlns:a16="http://schemas.microsoft.com/office/drawing/2014/main" id="{00000000-0008-0000-0100-000084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1" name="연결선: 꺾임 140">
          <a:extLst>
            <a:ext uri="{FF2B5EF4-FFF2-40B4-BE49-F238E27FC236}">
              <a16:creationId xmlns:a16="http://schemas.microsoft.com/office/drawing/2014/main" id="{00000000-0008-0000-0100-00008D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2" name="연결선: 꺾임 141">
          <a:extLst>
            <a:ext uri="{FF2B5EF4-FFF2-40B4-BE49-F238E27FC236}">
              <a16:creationId xmlns:a16="http://schemas.microsoft.com/office/drawing/2014/main" id="{00000000-0008-0000-0100-00008E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2" name="연결선: 꺾임 2431">
          <a:extLst>
            <a:ext uri="{FF2B5EF4-FFF2-40B4-BE49-F238E27FC236}">
              <a16:creationId xmlns:a16="http://schemas.microsoft.com/office/drawing/2014/main" id="{00000000-0008-0000-0100-000080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3" name="연결선: 꺾임 2432">
          <a:extLst>
            <a:ext uri="{FF2B5EF4-FFF2-40B4-BE49-F238E27FC236}">
              <a16:creationId xmlns:a16="http://schemas.microsoft.com/office/drawing/2014/main" id="{00000000-0008-0000-0100-000081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1" name="연결선: 꺾임 2460">
          <a:extLst>
            <a:ext uri="{FF2B5EF4-FFF2-40B4-BE49-F238E27FC236}">
              <a16:creationId xmlns:a16="http://schemas.microsoft.com/office/drawing/2014/main" id="{00000000-0008-0000-0100-00009D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2" name="연결선: 꺾임 2461">
          <a:extLst>
            <a:ext uri="{FF2B5EF4-FFF2-40B4-BE49-F238E27FC236}">
              <a16:creationId xmlns:a16="http://schemas.microsoft.com/office/drawing/2014/main" id="{00000000-0008-0000-0100-00009E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3" name="연결선: 꺾임 2462">
          <a:extLst>
            <a:ext uri="{FF2B5EF4-FFF2-40B4-BE49-F238E27FC236}">
              <a16:creationId xmlns:a16="http://schemas.microsoft.com/office/drawing/2014/main" id="{00000000-0008-0000-0100-00009F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4" name="연결선: 꺾임 2463">
          <a:extLst>
            <a:ext uri="{FF2B5EF4-FFF2-40B4-BE49-F238E27FC236}">
              <a16:creationId xmlns:a16="http://schemas.microsoft.com/office/drawing/2014/main" id="{00000000-0008-0000-0100-0000A0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3" name="연결선: 꺾임 2472">
          <a:extLst>
            <a:ext uri="{FF2B5EF4-FFF2-40B4-BE49-F238E27FC236}">
              <a16:creationId xmlns:a16="http://schemas.microsoft.com/office/drawing/2014/main" id="{00000000-0008-0000-0100-0000A9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4" name="연결선: 꺾임 2473">
          <a:extLst>
            <a:ext uri="{FF2B5EF4-FFF2-40B4-BE49-F238E27FC236}">
              <a16:creationId xmlns:a16="http://schemas.microsoft.com/office/drawing/2014/main" id="{00000000-0008-0000-0100-0000AA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5" name="연결선: 꺾임 2474">
          <a:extLst>
            <a:ext uri="{FF2B5EF4-FFF2-40B4-BE49-F238E27FC236}">
              <a16:creationId xmlns:a16="http://schemas.microsoft.com/office/drawing/2014/main" id="{00000000-0008-0000-0100-0000AB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6" name="연결선: 꺾임 2475">
          <a:extLst>
            <a:ext uri="{FF2B5EF4-FFF2-40B4-BE49-F238E27FC236}">
              <a16:creationId xmlns:a16="http://schemas.microsoft.com/office/drawing/2014/main" id="{00000000-0008-0000-0100-0000AC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 name="연결선: 꺾임 16">
          <a:extLst>
            <a:ext uri="{FF2B5EF4-FFF2-40B4-BE49-F238E27FC236}">
              <a16:creationId xmlns:a16="http://schemas.microsoft.com/office/drawing/2014/main" id="{00000000-0008-0000-0100-000011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 name="연결선: 꺾임 17">
          <a:extLst>
            <a:ext uri="{FF2B5EF4-FFF2-40B4-BE49-F238E27FC236}">
              <a16:creationId xmlns:a16="http://schemas.microsoft.com/office/drawing/2014/main" id="{00000000-0008-0000-0100-000012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 name="연결선: 꺾임 18">
          <a:extLst>
            <a:ext uri="{FF2B5EF4-FFF2-40B4-BE49-F238E27FC236}">
              <a16:creationId xmlns:a16="http://schemas.microsoft.com/office/drawing/2014/main" id="{00000000-0008-0000-0100-000013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 name="연결선: 꺾임 19">
          <a:extLst>
            <a:ext uri="{FF2B5EF4-FFF2-40B4-BE49-F238E27FC236}">
              <a16:creationId xmlns:a16="http://schemas.microsoft.com/office/drawing/2014/main" id="{00000000-0008-0000-0100-000014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 name="연결선: 꺾임 20">
          <a:extLst>
            <a:ext uri="{FF2B5EF4-FFF2-40B4-BE49-F238E27FC236}">
              <a16:creationId xmlns:a16="http://schemas.microsoft.com/office/drawing/2014/main" id="{00000000-0008-0000-0100-000015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 name="연결선: 꺾임 40">
          <a:extLst>
            <a:ext uri="{FF2B5EF4-FFF2-40B4-BE49-F238E27FC236}">
              <a16:creationId xmlns:a16="http://schemas.microsoft.com/office/drawing/2014/main" id="{00000000-0008-0000-0100-000029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 name="연결선: 꺾임 41">
          <a:extLst>
            <a:ext uri="{FF2B5EF4-FFF2-40B4-BE49-F238E27FC236}">
              <a16:creationId xmlns:a16="http://schemas.microsoft.com/office/drawing/2014/main" id="{00000000-0008-0000-0100-00002A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 name="연결선: 꺾임 42">
          <a:extLst>
            <a:ext uri="{FF2B5EF4-FFF2-40B4-BE49-F238E27FC236}">
              <a16:creationId xmlns:a16="http://schemas.microsoft.com/office/drawing/2014/main" id="{00000000-0008-0000-0100-00002B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 name="연결선: 꺾임 43">
          <a:extLst>
            <a:ext uri="{FF2B5EF4-FFF2-40B4-BE49-F238E27FC236}">
              <a16:creationId xmlns:a16="http://schemas.microsoft.com/office/drawing/2014/main" id="{00000000-0008-0000-0100-00002C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5" name="연결선: 꺾임 44">
          <a:extLst>
            <a:ext uri="{FF2B5EF4-FFF2-40B4-BE49-F238E27FC236}">
              <a16:creationId xmlns:a16="http://schemas.microsoft.com/office/drawing/2014/main" id="{00000000-0008-0000-0100-00002D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3" name="연결선: 꺾임 17992">
          <a:extLst>
            <a:ext uri="{FF2B5EF4-FFF2-40B4-BE49-F238E27FC236}">
              <a16:creationId xmlns:a16="http://schemas.microsoft.com/office/drawing/2014/main" id="{00000000-0008-0000-0100-000049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4" name="연결선: 꺾임 17993">
          <a:extLst>
            <a:ext uri="{FF2B5EF4-FFF2-40B4-BE49-F238E27FC236}">
              <a16:creationId xmlns:a16="http://schemas.microsoft.com/office/drawing/2014/main" id="{00000000-0008-0000-0100-00004A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5" name="연결선: 꺾임 17994">
          <a:extLst>
            <a:ext uri="{FF2B5EF4-FFF2-40B4-BE49-F238E27FC236}">
              <a16:creationId xmlns:a16="http://schemas.microsoft.com/office/drawing/2014/main" id="{00000000-0008-0000-0100-00004B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6" name="연결선: 꺾임 17995">
          <a:extLst>
            <a:ext uri="{FF2B5EF4-FFF2-40B4-BE49-F238E27FC236}">
              <a16:creationId xmlns:a16="http://schemas.microsoft.com/office/drawing/2014/main" id="{00000000-0008-0000-0100-00004C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7" name="연결선: 꺾임 17996">
          <a:extLst>
            <a:ext uri="{FF2B5EF4-FFF2-40B4-BE49-F238E27FC236}">
              <a16:creationId xmlns:a16="http://schemas.microsoft.com/office/drawing/2014/main" id="{00000000-0008-0000-0100-00004D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67" name="연결선: 꺾임 18066">
          <a:extLst>
            <a:ext uri="{FF2B5EF4-FFF2-40B4-BE49-F238E27FC236}">
              <a16:creationId xmlns:a16="http://schemas.microsoft.com/office/drawing/2014/main" id="{00000000-0008-0000-0100-000093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1" name="연결선: 꺾임 18100">
          <a:extLst>
            <a:ext uri="{FF2B5EF4-FFF2-40B4-BE49-F238E27FC236}">
              <a16:creationId xmlns:a16="http://schemas.microsoft.com/office/drawing/2014/main" id="{00000000-0008-0000-0100-0000B5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5" name="연결선: 꺾임 18134">
          <a:extLst>
            <a:ext uri="{FF2B5EF4-FFF2-40B4-BE49-F238E27FC236}">
              <a16:creationId xmlns:a16="http://schemas.microsoft.com/office/drawing/2014/main" id="{00000000-0008-0000-0100-0000D7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9" name="연결선: 꺾임 18138">
          <a:extLst>
            <a:ext uri="{FF2B5EF4-FFF2-40B4-BE49-F238E27FC236}">
              <a16:creationId xmlns:a16="http://schemas.microsoft.com/office/drawing/2014/main" id="{00000000-0008-0000-0100-0000DB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0" name="연결선: 꺾임 18139">
          <a:extLst>
            <a:ext uri="{FF2B5EF4-FFF2-40B4-BE49-F238E27FC236}">
              <a16:creationId xmlns:a16="http://schemas.microsoft.com/office/drawing/2014/main" id="{00000000-0008-0000-0100-0000DC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1" name="연결선: 꺾임 18140">
          <a:extLst>
            <a:ext uri="{FF2B5EF4-FFF2-40B4-BE49-F238E27FC236}">
              <a16:creationId xmlns:a16="http://schemas.microsoft.com/office/drawing/2014/main" id="{00000000-0008-0000-0100-0000DD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2" name="연결선: 꺾임 18141">
          <a:extLst>
            <a:ext uri="{FF2B5EF4-FFF2-40B4-BE49-F238E27FC236}">
              <a16:creationId xmlns:a16="http://schemas.microsoft.com/office/drawing/2014/main" id="{00000000-0008-0000-0100-0000DE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3" name="연결선: 꺾임 18142">
          <a:extLst>
            <a:ext uri="{FF2B5EF4-FFF2-40B4-BE49-F238E27FC236}">
              <a16:creationId xmlns:a16="http://schemas.microsoft.com/office/drawing/2014/main" id="{00000000-0008-0000-0100-0000DF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4" name="연결선: 꺾임 18143">
          <a:extLst>
            <a:ext uri="{FF2B5EF4-FFF2-40B4-BE49-F238E27FC236}">
              <a16:creationId xmlns:a16="http://schemas.microsoft.com/office/drawing/2014/main" id="{00000000-0008-0000-0100-0000E0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5" name="연결선: 꺾임 18144">
          <a:extLst>
            <a:ext uri="{FF2B5EF4-FFF2-40B4-BE49-F238E27FC236}">
              <a16:creationId xmlns:a16="http://schemas.microsoft.com/office/drawing/2014/main" id="{00000000-0008-0000-0100-0000E1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6" name="연결선: 꺾임 18145">
          <a:extLst>
            <a:ext uri="{FF2B5EF4-FFF2-40B4-BE49-F238E27FC236}">
              <a16:creationId xmlns:a16="http://schemas.microsoft.com/office/drawing/2014/main" id="{00000000-0008-0000-0100-0000E2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7" name="연결선: 꺾임 18146">
          <a:extLst>
            <a:ext uri="{FF2B5EF4-FFF2-40B4-BE49-F238E27FC236}">
              <a16:creationId xmlns:a16="http://schemas.microsoft.com/office/drawing/2014/main" id="{00000000-0008-0000-0100-0000E3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8" name="연결선: 꺾임 18147">
          <a:extLst>
            <a:ext uri="{FF2B5EF4-FFF2-40B4-BE49-F238E27FC236}">
              <a16:creationId xmlns:a16="http://schemas.microsoft.com/office/drawing/2014/main" id="{00000000-0008-0000-0100-0000E4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9" name="연결선: 꺾임 18148">
          <a:extLst>
            <a:ext uri="{FF2B5EF4-FFF2-40B4-BE49-F238E27FC236}">
              <a16:creationId xmlns:a16="http://schemas.microsoft.com/office/drawing/2014/main" id="{00000000-0008-0000-0100-0000E5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0" name="연결선: 꺾임 18149">
          <a:extLst>
            <a:ext uri="{FF2B5EF4-FFF2-40B4-BE49-F238E27FC236}">
              <a16:creationId xmlns:a16="http://schemas.microsoft.com/office/drawing/2014/main" id="{00000000-0008-0000-0100-0000E6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1" name="연결선: 꺾임 18150">
          <a:extLst>
            <a:ext uri="{FF2B5EF4-FFF2-40B4-BE49-F238E27FC236}">
              <a16:creationId xmlns:a16="http://schemas.microsoft.com/office/drawing/2014/main" id="{00000000-0008-0000-0100-0000E7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2" name="연결선: 꺾임 18151">
          <a:extLst>
            <a:ext uri="{FF2B5EF4-FFF2-40B4-BE49-F238E27FC236}">
              <a16:creationId xmlns:a16="http://schemas.microsoft.com/office/drawing/2014/main" id="{00000000-0008-0000-0100-0000E8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3" name="연결선: 꺾임 18152">
          <a:extLst>
            <a:ext uri="{FF2B5EF4-FFF2-40B4-BE49-F238E27FC236}">
              <a16:creationId xmlns:a16="http://schemas.microsoft.com/office/drawing/2014/main" id="{00000000-0008-0000-0100-0000E9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4" name="연결선: 꺾임 18153">
          <a:extLst>
            <a:ext uri="{FF2B5EF4-FFF2-40B4-BE49-F238E27FC236}">
              <a16:creationId xmlns:a16="http://schemas.microsoft.com/office/drawing/2014/main" id="{00000000-0008-0000-0100-0000EA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5" name="연결선: 꺾임 18154">
          <a:extLst>
            <a:ext uri="{FF2B5EF4-FFF2-40B4-BE49-F238E27FC236}">
              <a16:creationId xmlns:a16="http://schemas.microsoft.com/office/drawing/2014/main" id="{00000000-0008-0000-0100-0000EB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82" name="연결선: 꺾임 18181">
          <a:extLst>
            <a:ext uri="{FF2B5EF4-FFF2-40B4-BE49-F238E27FC236}">
              <a16:creationId xmlns:a16="http://schemas.microsoft.com/office/drawing/2014/main" id="{00000000-0008-0000-0100-000006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83" name="연결선: 꺾임 18182">
          <a:extLst>
            <a:ext uri="{FF2B5EF4-FFF2-40B4-BE49-F238E27FC236}">
              <a16:creationId xmlns:a16="http://schemas.microsoft.com/office/drawing/2014/main" id="{00000000-0008-0000-0100-000007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13" name="연결선: 꺾임 18212">
          <a:extLst>
            <a:ext uri="{FF2B5EF4-FFF2-40B4-BE49-F238E27FC236}">
              <a16:creationId xmlns:a16="http://schemas.microsoft.com/office/drawing/2014/main" id="{00000000-0008-0000-0100-000025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3" name="연결선: 꺾임 18242">
          <a:extLst>
            <a:ext uri="{FF2B5EF4-FFF2-40B4-BE49-F238E27FC236}">
              <a16:creationId xmlns:a16="http://schemas.microsoft.com/office/drawing/2014/main" id="{00000000-0008-0000-0100-000043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3" name="연결선: 꺾임 18272">
          <a:extLst>
            <a:ext uri="{FF2B5EF4-FFF2-40B4-BE49-F238E27FC236}">
              <a16:creationId xmlns:a16="http://schemas.microsoft.com/office/drawing/2014/main" id="{00000000-0008-0000-0100-000061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3" name="연결선: 꺾임 18302">
          <a:extLst>
            <a:ext uri="{FF2B5EF4-FFF2-40B4-BE49-F238E27FC236}">
              <a16:creationId xmlns:a16="http://schemas.microsoft.com/office/drawing/2014/main" id="{00000000-0008-0000-0100-00007F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30" name="연결선: 꺾임 18329">
          <a:extLst>
            <a:ext uri="{FF2B5EF4-FFF2-40B4-BE49-F238E27FC236}">
              <a16:creationId xmlns:a16="http://schemas.microsoft.com/office/drawing/2014/main" id="{00000000-0008-0000-0100-00009A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31" name="연결선: 꺾임 18330">
          <a:extLst>
            <a:ext uri="{FF2B5EF4-FFF2-40B4-BE49-F238E27FC236}">
              <a16:creationId xmlns:a16="http://schemas.microsoft.com/office/drawing/2014/main" id="{00000000-0008-0000-0100-00009B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58" name="연결선: 꺾임 18357">
          <a:extLst>
            <a:ext uri="{FF2B5EF4-FFF2-40B4-BE49-F238E27FC236}">
              <a16:creationId xmlns:a16="http://schemas.microsoft.com/office/drawing/2014/main" id="{00000000-0008-0000-0100-0000B6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59" name="연결선: 꺾임 18358">
          <a:extLst>
            <a:ext uri="{FF2B5EF4-FFF2-40B4-BE49-F238E27FC236}">
              <a16:creationId xmlns:a16="http://schemas.microsoft.com/office/drawing/2014/main" id="{00000000-0008-0000-0100-0000B7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6" name="연결선: 꺾임 18385">
          <a:extLst>
            <a:ext uri="{FF2B5EF4-FFF2-40B4-BE49-F238E27FC236}">
              <a16:creationId xmlns:a16="http://schemas.microsoft.com/office/drawing/2014/main" id="{00000000-0008-0000-0100-0000D2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7" name="연결선: 꺾임 18386">
          <a:extLst>
            <a:ext uri="{FF2B5EF4-FFF2-40B4-BE49-F238E27FC236}">
              <a16:creationId xmlns:a16="http://schemas.microsoft.com/office/drawing/2014/main" id="{00000000-0008-0000-0100-0000D3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14" name="연결선: 꺾임 18413">
          <a:extLst>
            <a:ext uri="{FF2B5EF4-FFF2-40B4-BE49-F238E27FC236}">
              <a16:creationId xmlns:a16="http://schemas.microsoft.com/office/drawing/2014/main" id="{00000000-0008-0000-0100-0000EE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15" name="연결선: 꺾임 18414">
          <a:extLst>
            <a:ext uri="{FF2B5EF4-FFF2-40B4-BE49-F238E27FC236}">
              <a16:creationId xmlns:a16="http://schemas.microsoft.com/office/drawing/2014/main" id="{00000000-0008-0000-0100-0000EF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42" name="연결선: 꺾임 18441">
          <a:extLst>
            <a:ext uri="{FF2B5EF4-FFF2-40B4-BE49-F238E27FC236}">
              <a16:creationId xmlns:a16="http://schemas.microsoft.com/office/drawing/2014/main" id="{00000000-0008-0000-0100-00000A48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9" name="연결선: 꺾임 18468">
          <a:extLst>
            <a:ext uri="{FF2B5EF4-FFF2-40B4-BE49-F238E27FC236}">
              <a16:creationId xmlns:a16="http://schemas.microsoft.com/office/drawing/2014/main" id="{00000000-0008-0000-0100-00002548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96" name="연결선: 꺾임 18495">
          <a:extLst>
            <a:ext uri="{FF2B5EF4-FFF2-40B4-BE49-F238E27FC236}">
              <a16:creationId xmlns:a16="http://schemas.microsoft.com/office/drawing/2014/main" id="{00000000-0008-0000-0100-00004048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23" name="연결선: 꺾임 18522">
          <a:extLst>
            <a:ext uri="{FF2B5EF4-FFF2-40B4-BE49-F238E27FC236}">
              <a16:creationId xmlns:a16="http://schemas.microsoft.com/office/drawing/2014/main" id="{00000000-0008-0000-0100-00005B48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4" name="연결선: 꺾임 53">
          <a:extLst>
            <a:ext uri="{FF2B5EF4-FFF2-40B4-BE49-F238E27FC236}">
              <a16:creationId xmlns:a16="http://schemas.microsoft.com/office/drawing/2014/main" id="{00000000-0008-0000-0100-000036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9" name="연결선: 꺾임 428">
          <a:extLst>
            <a:ext uri="{FF2B5EF4-FFF2-40B4-BE49-F238E27FC236}">
              <a16:creationId xmlns:a16="http://schemas.microsoft.com/office/drawing/2014/main" id="{00000000-0008-0000-0100-0000AD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5" name="연결선: 꺾임 2464">
          <a:extLst>
            <a:ext uri="{FF2B5EF4-FFF2-40B4-BE49-F238E27FC236}">
              <a16:creationId xmlns:a16="http://schemas.microsoft.com/office/drawing/2014/main" id="{00000000-0008-0000-0100-0000A1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6" name="연결선: 꺾임 2465">
          <a:extLst>
            <a:ext uri="{FF2B5EF4-FFF2-40B4-BE49-F238E27FC236}">
              <a16:creationId xmlns:a16="http://schemas.microsoft.com/office/drawing/2014/main" id="{00000000-0008-0000-0100-0000A2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8" name="연결선: 꺾임 17997">
          <a:extLst>
            <a:ext uri="{FF2B5EF4-FFF2-40B4-BE49-F238E27FC236}">
              <a16:creationId xmlns:a16="http://schemas.microsoft.com/office/drawing/2014/main" id="{00000000-0008-0000-0100-00004E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9" name="연결선: 꺾임 17998">
          <a:extLst>
            <a:ext uri="{FF2B5EF4-FFF2-40B4-BE49-F238E27FC236}">
              <a16:creationId xmlns:a16="http://schemas.microsoft.com/office/drawing/2014/main" id="{00000000-0008-0000-0100-00004F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5" name="연결선: 꺾임 18044">
          <a:extLst>
            <a:ext uri="{FF2B5EF4-FFF2-40B4-BE49-F238E27FC236}">
              <a16:creationId xmlns:a16="http://schemas.microsoft.com/office/drawing/2014/main" id="{00000000-0008-0000-0100-00007D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6" name="연결선: 꺾임 18045">
          <a:extLst>
            <a:ext uri="{FF2B5EF4-FFF2-40B4-BE49-F238E27FC236}">
              <a16:creationId xmlns:a16="http://schemas.microsoft.com/office/drawing/2014/main" id="{00000000-0008-0000-0100-00007E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4" name="연결선: 꺾임 18073">
          <a:extLst>
            <a:ext uri="{FF2B5EF4-FFF2-40B4-BE49-F238E27FC236}">
              <a16:creationId xmlns:a16="http://schemas.microsoft.com/office/drawing/2014/main" id="{00000000-0008-0000-0100-00009A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5" name="연결선: 꺾임 18074">
          <a:extLst>
            <a:ext uri="{FF2B5EF4-FFF2-40B4-BE49-F238E27FC236}">
              <a16:creationId xmlns:a16="http://schemas.microsoft.com/office/drawing/2014/main" id="{00000000-0008-0000-0100-00009B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3" name="연결선: 꺾임 18102">
          <a:extLst>
            <a:ext uri="{FF2B5EF4-FFF2-40B4-BE49-F238E27FC236}">
              <a16:creationId xmlns:a16="http://schemas.microsoft.com/office/drawing/2014/main" id="{00000000-0008-0000-0100-0000B7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4" name="연결선: 꺾임 18103">
          <a:extLst>
            <a:ext uri="{FF2B5EF4-FFF2-40B4-BE49-F238E27FC236}">
              <a16:creationId xmlns:a16="http://schemas.microsoft.com/office/drawing/2014/main" id="{00000000-0008-0000-0100-0000B8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1" name="연결선: 꺾임 18130">
          <a:extLst>
            <a:ext uri="{FF2B5EF4-FFF2-40B4-BE49-F238E27FC236}">
              <a16:creationId xmlns:a16="http://schemas.microsoft.com/office/drawing/2014/main" id="{00000000-0008-0000-0100-0000D3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2" name="연결선: 꺾임 18131">
          <a:extLst>
            <a:ext uri="{FF2B5EF4-FFF2-40B4-BE49-F238E27FC236}">
              <a16:creationId xmlns:a16="http://schemas.microsoft.com/office/drawing/2014/main" id="{00000000-0008-0000-0100-0000D4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24" name="연결선: 꺾임 18223">
          <a:extLst>
            <a:ext uri="{FF2B5EF4-FFF2-40B4-BE49-F238E27FC236}">
              <a16:creationId xmlns:a16="http://schemas.microsoft.com/office/drawing/2014/main" id="{00000000-0008-0000-0100-000030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25" name="연결선: 꺾임 18224">
          <a:extLst>
            <a:ext uri="{FF2B5EF4-FFF2-40B4-BE49-F238E27FC236}">
              <a16:creationId xmlns:a16="http://schemas.microsoft.com/office/drawing/2014/main" id="{00000000-0008-0000-0100-000031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53" name="연결선: 꺾임 18252">
          <a:extLst>
            <a:ext uri="{FF2B5EF4-FFF2-40B4-BE49-F238E27FC236}">
              <a16:creationId xmlns:a16="http://schemas.microsoft.com/office/drawing/2014/main" id="{00000000-0008-0000-0100-00004D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54" name="연결선: 꺾임 18253">
          <a:extLst>
            <a:ext uri="{FF2B5EF4-FFF2-40B4-BE49-F238E27FC236}">
              <a16:creationId xmlns:a16="http://schemas.microsoft.com/office/drawing/2014/main" id="{00000000-0008-0000-0100-00004E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83" name="연결선: 꺾임 18282">
          <a:extLst>
            <a:ext uri="{FF2B5EF4-FFF2-40B4-BE49-F238E27FC236}">
              <a16:creationId xmlns:a16="http://schemas.microsoft.com/office/drawing/2014/main" id="{00000000-0008-0000-0100-00006B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84" name="연결선: 꺾임 18283">
          <a:extLst>
            <a:ext uri="{FF2B5EF4-FFF2-40B4-BE49-F238E27FC236}">
              <a16:creationId xmlns:a16="http://schemas.microsoft.com/office/drawing/2014/main" id="{00000000-0008-0000-0100-00006C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2" name="연결선: 꺾임 18311">
          <a:extLst>
            <a:ext uri="{FF2B5EF4-FFF2-40B4-BE49-F238E27FC236}">
              <a16:creationId xmlns:a16="http://schemas.microsoft.com/office/drawing/2014/main" id="{00000000-0008-0000-0100-000088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3" name="연결선: 꺾임 18312">
          <a:extLst>
            <a:ext uri="{FF2B5EF4-FFF2-40B4-BE49-F238E27FC236}">
              <a16:creationId xmlns:a16="http://schemas.microsoft.com/office/drawing/2014/main" id="{00000000-0008-0000-0100-000089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42" name="연결선: 꺾임 18341">
          <a:extLst>
            <a:ext uri="{FF2B5EF4-FFF2-40B4-BE49-F238E27FC236}">
              <a16:creationId xmlns:a16="http://schemas.microsoft.com/office/drawing/2014/main" id="{00000000-0008-0000-0100-0000A6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43" name="연결선: 꺾임 18342">
          <a:extLst>
            <a:ext uri="{FF2B5EF4-FFF2-40B4-BE49-F238E27FC236}">
              <a16:creationId xmlns:a16="http://schemas.microsoft.com/office/drawing/2014/main" id="{00000000-0008-0000-0100-0000A7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2" name="연결선: 꺾임 18371">
          <a:extLst>
            <a:ext uri="{FF2B5EF4-FFF2-40B4-BE49-F238E27FC236}">
              <a16:creationId xmlns:a16="http://schemas.microsoft.com/office/drawing/2014/main" id="{00000000-0008-0000-0100-0000C4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3" name="연결선: 꺾임 18372">
          <a:extLst>
            <a:ext uri="{FF2B5EF4-FFF2-40B4-BE49-F238E27FC236}">
              <a16:creationId xmlns:a16="http://schemas.microsoft.com/office/drawing/2014/main" id="{00000000-0008-0000-0100-0000C5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2" name="연결선: 꺾임 18401">
          <a:extLst>
            <a:ext uri="{FF2B5EF4-FFF2-40B4-BE49-F238E27FC236}">
              <a16:creationId xmlns:a16="http://schemas.microsoft.com/office/drawing/2014/main" id="{00000000-0008-0000-0100-0000E2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3" name="연결선: 꺾임 18402">
          <a:extLst>
            <a:ext uri="{FF2B5EF4-FFF2-40B4-BE49-F238E27FC236}">
              <a16:creationId xmlns:a16="http://schemas.microsoft.com/office/drawing/2014/main" id="{00000000-0008-0000-0100-0000E3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32" name="연결선: 꺾임 18431">
          <a:extLst>
            <a:ext uri="{FF2B5EF4-FFF2-40B4-BE49-F238E27FC236}">
              <a16:creationId xmlns:a16="http://schemas.microsoft.com/office/drawing/2014/main" id="{00000000-0008-0000-0100-00000048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33" name="연결선: 꺾임 18432">
          <a:extLst>
            <a:ext uri="{FF2B5EF4-FFF2-40B4-BE49-F238E27FC236}">
              <a16:creationId xmlns:a16="http://schemas.microsoft.com/office/drawing/2014/main" id="{00000000-0008-0000-0100-00000148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1" name="연결선: 꺾임 18460">
          <a:extLst>
            <a:ext uri="{FF2B5EF4-FFF2-40B4-BE49-F238E27FC236}">
              <a16:creationId xmlns:a16="http://schemas.microsoft.com/office/drawing/2014/main" id="{00000000-0008-0000-0100-00001D48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2" name="연결선: 꺾임 18461">
          <a:extLst>
            <a:ext uri="{FF2B5EF4-FFF2-40B4-BE49-F238E27FC236}">
              <a16:creationId xmlns:a16="http://schemas.microsoft.com/office/drawing/2014/main" id="{00000000-0008-0000-0100-00001E48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8" name="연결선: 꺾임 18077">
          <a:extLst>
            <a:ext uri="{FF2B5EF4-FFF2-40B4-BE49-F238E27FC236}">
              <a16:creationId xmlns:a16="http://schemas.microsoft.com/office/drawing/2014/main" id="{00000000-0008-0000-0100-00009E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89" name="연결선: 꺾임 18088">
          <a:extLst>
            <a:ext uri="{FF2B5EF4-FFF2-40B4-BE49-F238E27FC236}">
              <a16:creationId xmlns:a16="http://schemas.microsoft.com/office/drawing/2014/main" id="{00000000-0008-0000-0100-0000A9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0" name="연결선: 꺾임 18099">
          <a:extLst>
            <a:ext uri="{FF2B5EF4-FFF2-40B4-BE49-F238E27FC236}">
              <a16:creationId xmlns:a16="http://schemas.microsoft.com/office/drawing/2014/main" id="{00000000-0008-0000-0100-0000B4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1" name="연결선: 꺾임 18040">
          <a:extLst>
            <a:ext uri="{FF2B5EF4-FFF2-40B4-BE49-F238E27FC236}">
              <a16:creationId xmlns:a16="http://schemas.microsoft.com/office/drawing/2014/main" id="{00000000-0008-0000-0100-000079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7" name="연결선: 꺾임 18246">
          <a:extLst>
            <a:ext uri="{FF2B5EF4-FFF2-40B4-BE49-F238E27FC236}">
              <a16:creationId xmlns:a16="http://schemas.microsoft.com/office/drawing/2014/main" id="{00000000-0008-0000-0100-000047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8" name="연결선: 꺾임 18247">
          <a:extLst>
            <a:ext uri="{FF2B5EF4-FFF2-40B4-BE49-F238E27FC236}">
              <a16:creationId xmlns:a16="http://schemas.microsoft.com/office/drawing/2014/main" id="{00000000-0008-0000-0100-000048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7" name="연결선: 꺾임 426">
          <a:extLst>
            <a:ext uri="{FF2B5EF4-FFF2-40B4-BE49-F238E27FC236}">
              <a16:creationId xmlns:a16="http://schemas.microsoft.com/office/drawing/2014/main" id="{00000000-0008-0000-0100-0000AB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8" name="연결선: 꺾임 427">
          <a:extLst>
            <a:ext uri="{FF2B5EF4-FFF2-40B4-BE49-F238E27FC236}">
              <a16:creationId xmlns:a16="http://schemas.microsoft.com/office/drawing/2014/main" id="{00000000-0008-0000-0100-0000AC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0" name="연결선: 꺾임 429">
          <a:extLst>
            <a:ext uri="{FF2B5EF4-FFF2-40B4-BE49-F238E27FC236}">
              <a16:creationId xmlns:a16="http://schemas.microsoft.com/office/drawing/2014/main" id="{00000000-0008-0000-0100-0000AE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1" name="연결선: 꺾임 430">
          <a:extLst>
            <a:ext uri="{FF2B5EF4-FFF2-40B4-BE49-F238E27FC236}">
              <a16:creationId xmlns:a16="http://schemas.microsoft.com/office/drawing/2014/main" id="{00000000-0008-0000-0100-0000AF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2" name="연결선: 꺾임 431">
          <a:extLst>
            <a:ext uri="{FF2B5EF4-FFF2-40B4-BE49-F238E27FC236}">
              <a16:creationId xmlns:a16="http://schemas.microsoft.com/office/drawing/2014/main" id="{00000000-0008-0000-0100-0000B0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3" name="연결선: 꺾임 432">
          <a:extLst>
            <a:ext uri="{FF2B5EF4-FFF2-40B4-BE49-F238E27FC236}">
              <a16:creationId xmlns:a16="http://schemas.microsoft.com/office/drawing/2014/main" id="{00000000-0008-0000-0100-0000B1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4" name="연결선: 꺾임 433">
          <a:extLst>
            <a:ext uri="{FF2B5EF4-FFF2-40B4-BE49-F238E27FC236}">
              <a16:creationId xmlns:a16="http://schemas.microsoft.com/office/drawing/2014/main" id="{00000000-0008-0000-0100-0000B2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5" name="연결선: 꺾임 434">
          <a:extLst>
            <a:ext uri="{FF2B5EF4-FFF2-40B4-BE49-F238E27FC236}">
              <a16:creationId xmlns:a16="http://schemas.microsoft.com/office/drawing/2014/main" id="{00000000-0008-0000-0100-0000B3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6" name="연결선: 꺾임 435">
          <a:extLst>
            <a:ext uri="{FF2B5EF4-FFF2-40B4-BE49-F238E27FC236}">
              <a16:creationId xmlns:a16="http://schemas.microsoft.com/office/drawing/2014/main" id="{00000000-0008-0000-0100-0000B4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7" name="연결선: 꺾임 436">
          <a:extLst>
            <a:ext uri="{FF2B5EF4-FFF2-40B4-BE49-F238E27FC236}">
              <a16:creationId xmlns:a16="http://schemas.microsoft.com/office/drawing/2014/main" id="{00000000-0008-0000-0100-0000B5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4" name="연결선: 꺾임 443">
          <a:extLst>
            <a:ext uri="{FF2B5EF4-FFF2-40B4-BE49-F238E27FC236}">
              <a16:creationId xmlns:a16="http://schemas.microsoft.com/office/drawing/2014/main" id="{00000000-0008-0000-0100-0000BC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68" name="연결선: 꺾임 18367">
          <a:extLst>
            <a:ext uri="{FF2B5EF4-FFF2-40B4-BE49-F238E27FC236}">
              <a16:creationId xmlns:a16="http://schemas.microsoft.com/office/drawing/2014/main" id="{00000000-0008-0000-0100-0000C0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69" name="연결선: 꺾임 18368">
          <a:extLst>
            <a:ext uri="{FF2B5EF4-FFF2-40B4-BE49-F238E27FC236}">
              <a16:creationId xmlns:a16="http://schemas.microsoft.com/office/drawing/2014/main" id="{00000000-0008-0000-0100-0000C1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0" name="연결선: 꺾임 18369">
          <a:extLst>
            <a:ext uri="{FF2B5EF4-FFF2-40B4-BE49-F238E27FC236}">
              <a16:creationId xmlns:a16="http://schemas.microsoft.com/office/drawing/2014/main" id="{00000000-0008-0000-0100-0000C2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1" name="연결선: 꺾임 18370">
          <a:extLst>
            <a:ext uri="{FF2B5EF4-FFF2-40B4-BE49-F238E27FC236}">
              <a16:creationId xmlns:a16="http://schemas.microsoft.com/office/drawing/2014/main" id="{00000000-0008-0000-0100-0000C3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4" name="연결선: 꺾임 18373">
          <a:extLst>
            <a:ext uri="{FF2B5EF4-FFF2-40B4-BE49-F238E27FC236}">
              <a16:creationId xmlns:a16="http://schemas.microsoft.com/office/drawing/2014/main" id="{00000000-0008-0000-0100-0000C6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5" name="연결선: 꺾임 18374">
          <a:extLst>
            <a:ext uri="{FF2B5EF4-FFF2-40B4-BE49-F238E27FC236}">
              <a16:creationId xmlns:a16="http://schemas.microsoft.com/office/drawing/2014/main" id="{00000000-0008-0000-0100-0000C7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6" name="연결선: 꺾임 18375">
          <a:extLst>
            <a:ext uri="{FF2B5EF4-FFF2-40B4-BE49-F238E27FC236}">
              <a16:creationId xmlns:a16="http://schemas.microsoft.com/office/drawing/2014/main" id="{00000000-0008-0000-0100-0000C8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7" name="연결선: 꺾임 18376">
          <a:extLst>
            <a:ext uri="{FF2B5EF4-FFF2-40B4-BE49-F238E27FC236}">
              <a16:creationId xmlns:a16="http://schemas.microsoft.com/office/drawing/2014/main" id="{00000000-0008-0000-0100-0000C9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8" name="연결선: 꺾임 18377">
          <a:extLst>
            <a:ext uri="{FF2B5EF4-FFF2-40B4-BE49-F238E27FC236}">
              <a16:creationId xmlns:a16="http://schemas.microsoft.com/office/drawing/2014/main" id="{00000000-0008-0000-0100-0000CA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9" name="연결선: 꺾임 18378">
          <a:extLst>
            <a:ext uri="{FF2B5EF4-FFF2-40B4-BE49-F238E27FC236}">
              <a16:creationId xmlns:a16="http://schemas.microsoft.com/office/drawing/2014/main" id="{00000000-0008-0000-0100-0000CB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8" name="연결선: 꺾임 18387">
          <a:extLst>
            <a:ext uri="{FF2B5EF4-FFF2-40B4-BE49-F238E27FC236}">
              <a16:creationId xmlns:a16="http://schemas.microsoft.com/office/drawing/2014/main" id="{00000000-0008-0000-0100-0000D4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7" name="연결선: 꺾임 62116">
          <a:extLst>
            <a:ext uri="{FF2B5EF4-FFF2-40B4-BE49-F238E27FC236}">
              <a16:creationId xmlns:a16="http://schemas.microsoft.com/office/drawing/2014/main" id="{00000000-0008-0000-0100-0000A5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8" name="연결선: 꺾임 62117">
          <a:extLst>
            <a:ext uri="{FF2B5EF4-FFF2-40B4-BE49-F238E27FC236}">
              <a16:creationId xmlns:a16="http://schemas.microsoft.com/office/drawing/2014/main" id="{00000000-0008-0000-0100-0000A6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9" name="연결선: 꺾임 62118">
          <a:extLst>
            <a:ext uri="{FF2B5EF4-FFF2-40B4-BE49-F238E27FC236}">
              <a16:creationId xmlns:a16="http://schemas.microsoft.com/office/drawing/2014/main" id="{00000000-0008-0000-0100-0000A7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0" name="연결선: 꺾임 62119">
          <a:extLst>
            <a:ext uri="{FF2B5EF4-FFF2-40B4-BE49-F238E27FC236}">
              <a16:creationId xmlns:a16="http://schemas.microsoft.com/office/drawing/2014/main" id="{00000000-0008-0000-0100-0000A8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1" name="연결선: 꺾임 62120">
          <a:extLst>
            <a:ext uri="{FF2B5EF4-FFF2-40B4-BE49-F238E27FC236}">
              <a16:creationId xmlns:a16="http://schemas.microsoft.com/office/drawing/2014/main" id="{00000000-0008-0000-0100-0000A9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2" name="연결선: 꺾임 62121">
          <a:extLst>
            <a:ext uri="{FF2B5EF4-FFF2-40B4-BE49-F238E27FC236}">
              <a16:creationId xmlns:a16="http://schemas.microsoft.com/office/drawing/2014/main" id="{00000000-0008-0000-0100-0000AA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3" name="연결선: 꺾임 62122">
          <a:extLst>
            <a:ext uri="{FF2B5EF4-FFF2-40B4-BE49-F238E27FC236}">
              <a16:creationId xmlns:a16="http://schemas.microsoft.com/office/drawing/2014/main" id="{00000000-0008-0000-0100-0000AB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4" name="연결선: 꺾임 62123">
          <a:extLst>
            <a:ext uri="{FF2B5EF4-FFF2-40B4-BE49-F238E27FC236}">
              <a16:creationId xmlns:a16="http://schemas.microsoft.com/office/drawing/2014/main" id="{00000000-0008-0000-0100-0000AC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5" name="연결선: 꺾임 62124">
          <a:extLst>
            <a:ext uri="{FF2B5EF4-FFF2-40B4-BE49-F238E27FC236}">
              <a16:creationId xmlns:a16="http://schemas.microsoft.com/office/drawing/2014/main" id="{00000000-0008-0000-0100-0000AD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6" name="연결선: 꺾임 62125">
          <a:extLst>
            <a:ext uri="{FF2B5EF4-FFF2-40B4-BE49-F238E27FC236}">
              <a16:creationId xmlns:a16="http://schemas.microsoft.com/office/drawing/2014/main" id="{00000000-0008-0000-0100-0000AE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33" name="연결선: 꺾임 62132">
          <a:extLst>
            <a:ext uri="{FF2B5EF4-FFF2-40B4-BE49-F238E27FC236}">
              <a16:creationId xmlns:a16="http://schemas.microsoft.com/office/drawing/2014/main" id="{00000000-0008-0000-0100-0000B5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1" name="연결선: 꺾임 440">
          <a:extLst>
            <a:ext uri="{FF2B5EF4-FFF2-40B4-BE49-F238E27FC236}">
              <a16:creationId xmlns:a16="http://schemas.microsoft.com/office/drawing/2014/main" id="{00000000-0008-0000-0100-0000B9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2" name="연결선: 꺾임 441">
          <a:extLst>
            <a:ext uri="{FF2B5EF4-FFF2-40B4-BE49-F238E27FC236}">
              <a16:creationId xmlns:a16="http://schemas.microsoft.com/office/drawing/2014/main" id="{00000000-0008-0000-0100-0000BA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3" name="연결선: 꺾임 442">
          <a:extLst>
            <a:ext uri="{FF2B5EF4-FFF2-40B4-BE49-F238E27FC236}">
              <a16:creationId xmlns:a16="http://schemas.microsoft.com/office/drawing/2014/main" id="{00000000-0008-0000-0100-0000BB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5" name="연결선: 꺾임 444">
          <a:extLst>
            <a:ext uri="{FF2B5EF4-FFF2-40B4-BE49-F238E27FC236}">
              <a16:creationId xmlns:a16="http://schemas.microsoft.com/office/drawing/2014/main" id="{00000000-0008-0000-0100-0000BD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6" name="연결선: 꺾임 445">
          <a:extLst>
            <a:ext uri="{FF2B5EF4-FFF2-40B4-BE49-F238E27FC236}">
              <a16:creationId xmlns:a16="http://schemas.microsoft.com/office/drawing/2014/main" id="{00000000-0008-0000-0100-0000BE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7" name="연결선: 꺾임 446">
          <a:extLst>
            <a:ext uri="{FF2B5EF4-FFF2-40B4-BE49-F238E27FC236}">
              <a16:creationId xmlns:a16="http://schemas.microsoft.com/office/drawing/2014/main" id="{00000000-0008-0000-0100-0000BF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7" name="연결선: 꺾임 17986">
          <a:extLst>
            <a:ext uri="{FF2B5EF4-FFF2-40B4-BE49-F238E27FC236}">
              <a16:creationId xmlns:a16="http://schemas.microsoft.com/office/drawing/2014/main" id="{00000000-0008-0000-0100-000043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2" name="연결선: 꺾임 17991">
          <a:extLst>
            <a:ext uri="{FF2B5EF4-FFF2-40B4-BE49-F238E27FC236}">
              <a16:creationId xmlns:a16="http://schemas.microsoft.com/office/drawing/2014/main" id="{00000000-0008-0000-0100-000048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4" name="연결선: 꺾임 18003">
          <a:extLst>
            <a:ext uri="{FF2B5EF4-FFF2-40B4-BE49-F238E27FC236}">
              <a16:creationId xmlns:a16="http://schemas.microsoft.com/office/drawing/2014/main" id="{00000000-0008-0000-0100-000054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5" name="연결선: 꺾임 18004">
          <a:extLst>
            <a:ext uri="{FF2B5EF4-FFF2-40B4-BE49-F238E27FC236}">
              <a16:creationId xmlns:a16="http://schemas.microsoft.com/office/drawing/2014/main" id="{00000000-0008-0000-0100-000055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8" name="연결선: 꺾임 2477">
          <a:extLst>
            <a:ext uri="{FF2B5EF4-FFF2-40B4-BE49-F238E27FC236}">
              <a16:creationId xmlns:a16="http://schemas.microsoft.com/office/drawing/2014/main" id="{00000000-0008-0000-0100-0000AE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9" name="연결선: 꺾임 2478">
          <a:extLst>
            <a:ext uri="{FF2B5EF4-FFF2-40B4-BE49-F238E27FC236}">
              <a16:creationId xmlns:a16="http://schemas.microsoft.com/office/drawing/2014/main" id="{00000000-0008-0000-0100-0000AF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0" name="연결선: 꺾임 2479">
          <a:extLst>
            <a:ext uri="{FF2B5EF4-FFF2-40B4-BE49-F238E27FC236}">
              <a16:creationId xmlns:a16="http://schemas.microsoft.com/office/drawing/2014/main" id="{00000000-0008-0000-0100-0000B0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1" name="연결선: 꺾임 2480">
          <a:extLst>
            <a:ext uri="{FF2B5EF4-FFF2-40B4-BE49-F238E27FC236}">
              <a16:creationId xmlns:a16="http://schemas.microsoft.com/office/drawing/2014/main" id="{00000000-0008-0000-0100-0000B1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2" name="연결선: 꺾임 2481">
          <a:extLst>
            <a:ext uri="{FF2B5EF4-FFF2-40B4-BE49-F238E27FC236}">
              <a16:creationId xmlns:a16="http://schemas.microsoft.com/office/drawing/2014/main" id="{00000000-0008-0000-0100-0000B2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3" name="연결선: 꺾임 2482">
          <a:extLst>
            <a:ext uri="{FF2B5EF4-FFF2-40B4-BE49-F238E27FC236}">
              <a16:creationId xmlns:a16="http://schemas.microsoft.com/office/drawing/2014/main" id="{00000000-0008-0000-0100-0000B3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4" name="연결선: 꺾임 2483">
          <a:extLst>
            <a:ext uri="{FF2B5EF4-FFF2-40B4-BE49-F238E27FC236}">
              <a16:creationId xmlns:a16="http://schemas.microsoft.com/office/drawing/2014/main" id="{00000000-0008-0000-0100-0000B4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5" name="연결선: 꺾임 2484">
          <a:extLst>
            <a:ext uri="{FF2B5EF4-FFF2-40B4-BE49-F238E27FC236}">
              <a16:creationId xmlns:a16="http://schemas.microsoft.com/office/drawing/2014/main" id="{00000000-0008-0000-0100-0000B5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6" name="연결선: 꺾임 2485">
          <a:extLst>
            <a:ext uri="{FF2B5EF4-FFF2-40B4-BE49-F238E27FC236}">
              <a16:creationId xmlns:a16="http://schemas.microsoft.com/office/drawing/2014/main" id="{00000000-0008-0000-0100-0000B6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7" name="연결선: 꺾임 2486">
          <a:extLst>
            <a:ext uri="{FF2B5EF4-FFF2-40B4-BE49-F238E27FC236}">
              <a16:creationId xmlns:a16="http://schemas.microsoft.com/office/drawing/2014/main" id="{00000000-0008-0000-0100-0000B7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8" name="연결선: 꺾임 2487">
          <a:extLst>
            <a:ext uri="{FF2B5EF4-FFF2-40B4-BE49-F238E27FC236}">
              <a16:creationId xmlns:a16="http://schemas.microsoft.com/office/drawing/2014/main" id="{00000000-0008-0000-0100-0000B8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4" name="연결선: 꺾임 2433">
          <a:extLst>
            <a:ext uri="{FF2B5EF4-FFF2-40B4-BE49-F238E27FC236}">
              <a16:creationId xmlns:a16="http://schemas.microsoft.com/office/drawing/2014/main" id="{00000000-0008-0000-0100-000082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5" name="연결선: 꺾임 2434">
          <a:extLst>
            <a:ext uri="{FF2B5EF4-FFF2-40B4-BE49-F238E27FC236}">
              <a16:creationId xmlns:a16="http://schemas.microsoft.com/office/drawing/2014/main" id="{00000000-0008-0000-0100-000083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6" name="연결선: 꺾임 2435">
          <a:extLst>
            <a:ext uri="{FF2B5EF4-FFF2-40B4-BE49-F238E27FC236}">
              <a16:creationId xmlns:a16="http://schemas.microsoft.com/office/drawing/2014/main" id="{00000000-0008-0000-0100-000084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7" name="연결선: 꺾임 2436">
          <a:extLst>
            <a:ext uri="{FF2B5EF4-FFF2-40B4-BE49-F238E27FC236}">
              <a16:creationId xmlns:a16="http://schemas.microsoft.com/office/drawing/2014/main" id="{00000000-0008-0000-0100-000085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8" name="연결선: 꺾임 2437">
          <a:extLst>
            <a:ext uri="{FF2B5EF4-FFF2-40B4-BE49-F238E27FC236}">
              <a16:creationId xmlns:a16="http://schemas.microsoft.com/office/drawing/2014/main" id="{00000000-0008-0000-0100-000086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8" name="연결선: 꺾임 2457">
          <a:extLst>
            <a:ext uri="{FF2B5EF4-FFF2-40B4-BE49-F238E27FC236}">
              <a16:creationId xmlns:a16="http://schemas.microsoft.com/office/drawing/2014/main" id="{00000000-0008-0000-0100-00009A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9" name="연결선: 꺾임 2458">
          <a:extLst>
            <a:ext uri="{FF2B5EF4-FFF2-40B4-BE49-F238E27FC236}">
              <a16:creationId xmlns:a16="http://schemas.microsoft.com/office/drawing/2014/main" id="{00000000-0008-0000-0100-00009B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0" name="연결선: 꺾임 2459">
          <a:extLst>
            <a:ext uri="{FF2B5EF4-FFF2-40B4-BE49-F238E27FC236}">
              <a16:creationId xmlns:a16="http://schemas.microsoft.com/office/drawing/2014/main" id="{00000000-0008-0000-0100-00009C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7" name="연결선: 꺾임 2466">
          <a:extLst>
            <a:ext uri="{FF2B5EF4-FFF2-40B4-BE49-F238E27FC236}">
              <a16:creationId xmlns:a16="http://schemas.microsoft.com/office/drawing/2014/main" id="{00000000-0008-0000-0100-0000A3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8" name="연결선: 꺾임 2467">
          <a:extLst>
            <a:ext uri="{FF2B5EF4-FFF2-40B4-BE49-F238E27FC236}">
              <a16:creationId xmlns:a16="http://schemas.microsoft.com/office/drawing/2014/main" id="{00000000-0008-0000-0100-0000A4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4" name="연결선: 꺾임 18263">
          <a:extLst>
            <a:ext uri="{FF2B5EF4-FFF2-40B4-BE49-F238E27FC236}">
              <a16:creationId xmlns:a16="http://schemas.microsoft.com/office/drawing/2014/main" id="{00000000-0008-0000-0100-000058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5" name="연결선: 꺾임 18264">
          <a:extLst>
            <a:ext uri="{FF2B5EF4-FFF2-40B4-BE49-F238E27FC236}">
              <a16:creationId xmlns:a16="http://schemas.microsoft.com/office/drawing/2014/main" id="{00000000-0008-0000-0100-000059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6" name="연결선: 꺾임 18265">
          <a:extLst>
            <a:ext uri="{FF2B5EF4-FFF2-40B4-BE49-F238E27FC236}">
              <a16:creationId xmlns:a16="http://schemas.microsoft.com/office/drawing/2014/main" id="{00000000-0008-0000-0100-00005A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7" name="연결선: 꺾임 18266">
          <a:extLst>
            <a:ext uri="{FF2B5EF4-FFF2-40B4-BE49-F238E27FC236}">
              <a16:creationId xmlns:a16="http://schemas.microsoft.com/office/drawing/2014/main" id="{00000000-0008-0000-0100-00005B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8" name="연결선: 꺾임 18267">
          <a:extLst>
            <a:ext uri="{FF2B5EF4-FFF2-40B4-BE49-F238E27FC236}">
              <a16:creationId xmlns:a16="http://schemas.microsoft.com/office/drawing/2014/main" id="{00000000-0008-0000-0100-00005C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9" name="연결선: 꺾임 18268">
          <a:extLst>
            <a:ext uri="{FF2B5EF4-FFF2-40B4-BE49-F238E27FC236}">
              <a16:creationId xmlns:a16="http://schemas.microsoft.com/office/drawing/2014/main" id="{00000000-0008-0000-0100-00005D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0" name="연결선: 꺾임 18269">
          <a:extLst>
            <a:ext uri="{FF2B5EF4-FFF2-40B4-BE49-F238E27FC236}">
              <a16:creationId xmlns:a16="http://schemas.microsoft.com/office/drawing/2014/main" id="{00000000-0008-0000-0100-00005E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4" name="연결선: 꺾임 18273">
          <a:extLst>
            <a:ext uri="{FF2B5EF4-FFF2-40B4-BE49-F238E27FC236}">
              <a16:creationId xmlns:a16="http://schemas.microsoft.com/office/drawing/2014/main" id="{00000000-0008-0000-0100-000062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6" name="연결선: 꺾임 18305">
          <a:extLst>
            <a:ext uri="{FF2B5EF4-FFF2-40B4-BE49-F238E27FC236}">
              <a16:creationId xmlns:a16="http://schemas.microsoft.com/office/drawing/2014/main" id="{00000000-0008-0000-0100-000082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7" name="연결선: 꺾임 18306">
          <a:extLst>
            <a:ext uri="{FF2B5EF4-FFF2-40B4-BE49-F238E27FC236}">
              <a16:creationId xmlns:a16="http://schemas.microsoft.com/office/drawing/2014/main" id="{00000000-0008-0000-0100-000083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8" name="연결선: 꺾임 18307">
          <a:extLst>
            <a:ext uri="{FF2B5EF4-FFF2-40B4-BE49-F238E27FC236}">
              <a16:creationId xmlns:a16="http://schemas.microsoft.com/office/drawing/2014/main" id="{00000000-0008-0000-0100-000084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9" name="연결선: 꺾임 18308">
          <a:extLst>
            <a:ext uri="{FF2B5EF4-FFF2-40B4-BE49-F238E27FC236}">
              <a16:creationId xmlns:a16="http://schemas.microsoft.com/office/drawing/2014/main" id="{00000000-0008-0000-0100-000085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0" name="연결선: 꺾임 18309">
          <a:extLst>
            <a:ext uri="{FF2B5EF4-FFF2-40B4-BE49-F238E27FC236}">
              <a16:creationId xmlns:a16="http://schemas.microsoft.com/office/drawing/2014/main" id="{00000000-0008-0000-0100-000086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1" name="연결선: 꺾임 18310">
          <a:extLst>
            <a:ext uri="{FF2B5EF4-FFF2-40B4-BE49-F238E27FC236}">
              <a16:creationId xmlns:a16="http://schemas.microsoft.com/office/drawing/2014/main" id="{00000000-0008-0000-0100-000087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4" name="연결선: 꺾임 18313">
          <a:extLst>
            <a:ext uri="{FF2B5EF4-FFF2-40B4-BE49-F238E27FC236}">
              <a16:creationId xmlns:a16="http://schemas.microsoft.com/office/drawing/2014/main" id="{00000000-0008-0000-0100-00008A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5" name="연결선: 꺾임 18314">
          <a:extLst>
            <a:ext uri="{FF2B5EF4-FFF2-40B4-BE49-F238E27FC236}">
              <a16:creationId xmlns:a16="http://schemas.microsoft.com/office/drawing/2014/main" id="{00000000-0008-0000-0100-00008B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6" name="연결선: 꺾임 18315">
          <a:extLst>
            <a:ext uri="{FF2B5EF4-FFF2-40B4-BE49-F238E27FC236}">
              <a16:creationId xmlns:a16="http://schemas.microsoft.com/office/drawing/2014/main" id="{00000000-0008-0000-0100-00008C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7" name="연결선: 꺾임 18316">
          <a:extLst>
            <a:ext uri="{FF2B5EF4-FFF2-40B4-BE49-F238E27FC236}">
              <a16:creationId xmlns:a16="http://schemas.microsoft.com/office/drawing/2014/main" id="{00000000-0008-0000-0100-00008D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8" name="연결선: 꺾임 18317">
          <a:extLst>
            <a:ext uri="{FF2B5EF4-FFF2-40B4-BE49-F238E27FC236}">
              <a16:creationId xmlns:a16="http://schemas.microsoft.com/office/drawing/2014/main" id="{00000000-0008-0000-0100-00008E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7" name="연결선: 꺾임 18396">
          <a:extLst>
            <a:ext uri="{FF2B5EF4-FFF2-40B4-BE49-F238E27FC236}">
              <a16:creationId xmlns:a16="http://schemas.microsoft.com/office/drawing/2014/main" id="{00000000-0008-0000-0100-0000DD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8" name="연결선: 꺾임 18397">
          <a:extLst>
            <a:ext uri="{FF2B5EF4-FFF2-40B4-BE49-F238E27FC236}">
              <a16:creationId xmlns:a16="http://schemas.microsoft.com/office/drawing/2014/main" id="{00000000-0008-0000-0100-0000DE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9" name="연결선: 꺾임 18398">
          <a:extLst>
            <a:ext uri="{FF2B5EF4-FFF2-40B4-BE49-F238E27FC236}">
              <a16:creationId xmlns:a16="http://schemas.microsoft.com/office/drawing/2014/main" id="{00000000-0008-0000-0100-0000DF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0" name="연결선: 꺾임 18399">
          <a:extLst>
            <a:ext uri="{FF2B5EF4-FFF2-40B4-BE49-F238E27FC236}">
              <a16:creationId xmlns:a16="http://schemas.microsoft.com/office/drawing/2014/main" id="{00000000-0008-0000-0100-0000E0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1" name="연결선: 꺾임 18400">
          <a:extLst>
            <a:ext uri="{FF2B5EF4-FFF2-40B4-BE49-F238E27FC236}">
              <a16:creationId xmlns:a16="http://schemas.microsoft.com/office/drawing/2014/main" id="{00000000-0008-0000-0100-0000E1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4" name="연결선: 꺾임 18403">
          <a:extLst>
            <a:ext uri="{FF2B5EF4-FFF2-40B4-BE49-F238E27FC236}">
              <a16:creationId xmlns:a16="http://schemas.microsoft.com/office/drawing/2014/main" id="{00000000-0008-0000-0100-0000E4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5" name="연결선: 꺾임 18404">
          <a:extLst>
            <a:ext uri="{FF2B5EF4-FFF2-40B4-BE49-F238E27FC236}">
              <a16:creationId xmlns:a16="http://schemas.microsoft.com/office/drawing/2014/main" id="{00000000-0008-0000-0100-0000E5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6" name="연결선: 꺾임 18405">
          <a:extLst>
            <a:ext uri="{FF2B5EF4-FFF2-40B4-BE49-F238E27FC236}">
              <a16:creationId xmlns:a16="http://schemas.microsoft.com/office/drawing/2014/main" id="{00000000-0008-0000-0100-0000E6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7" name="연결선: 꺾임 18406">
          <a:extLst>
            <a:ext uri="{FF2B5EF4-FFF2-40B4-BE49-F238E27FC236}">
              <a16:creationId xmlns:a16="http://schemas.microsoft.com/office/drawing/2014/main" id="{00000000-0008-0000-0100-0000E7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8" name="연결선: 꺾임 18407">
          <a:extLst>
            <a:ext uri="{FF2B5EF4-FFF2-40B4-BE49-F238E27FC236}">
              <a16:creationId xmlns:a16="http://schemas.microsoft.com/office/drawing/2014/main" id="{00000000-0008-0000-0100-0000E8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2" name="연결선: 꺾임 64591">
          <a:extLst>
            <a:ext uri="{FF2B5EF4-FFF2-40B4-BE49-F238E27FC236}">
              <a16:creationId xmlns:a16="http://schemas.microsoft.com/office/drawing/2014/main" id="{00000000-0008-0000-0100-000050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3" name="연결선: 꺾임 64592">
          <a:extLst>
            <a:ext uri="{FF2B5EF4-FFF2-40B4-BE49-F238E27FC236}">
              <a16:creationId xmlns:a16="http://schemas.microsoft.com/office/drawing/2014/main" id="{00000000-0008-0000-0100-000051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4" name="연결선: 꺾임 64593">
          <a:extLst>
            <a:ext uri="{FF2B5EF4-FFF2-40B4-BE49-F238E27FC236}">
              <a16:creationId xmlns:a16="http://schemas.microsoft.com/office/drawing/2014/main" id="{00000000-0008-0000-0100-000052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5" name="연결선: 꺾임 64594">
          <a:extLst>
            <a:ext uri="{FF2B5EF4-FFF2-40B4-BE49-F238E27FC236}">
              <a16:creationId xmlns:a16="http://schemas.microsoft.com/office/drawing/2014/main" id="{00000000-0008-0000-0100-000053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6" name="연결선: 꺾임 64595">
          <a:extLst>
            <a:ext uri="{FF2B5EF4-FFF2-40B4-BE49-F238E27FC236}">
              <a16:creationId xmlns:a16="http://schemas.microsoft.com/office/drawing/2014/main" id="{00000000-0008-0000-0100-000054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7" name="연결선: 꺾임 64596">
          <a:extLst>
            <a:ext uri="{FF2B5EF4-FFF2-40B4-BE49-F238E27FC236}">
              <a16:creationId xmlns:a16="http://schemas.microsoft.com/office/drawing/2014/main" id="{00000000-0008-0000-0100-000055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8" name="연결선: 꺾임 64597">
          <a:extLst>
            <a:ext uri="{FF2B5EF4-FFF2-40B4-BE49-F238E27FC236}">
              <a16:creationId xmlns:a16="http://schemas.microsoft.com/office/drawing/2014/main" id="{00000000-0008-0000-0100-000056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9" name="연결선: 꺾임 64598">
          <a:extLst>
            <a:ext uri="{FF2B5EF4-FFF2-40B4-BE49-F238E27FC236}">
              <a16:creationId xmlns:a16="http://schemas.microsoft.com/office/drawing/2014/main" id="{00000000-0008-0000-0100-000057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00" name="연결선: 꺾임 64599">
          <a:extLst>
            <a:ext uri="{FF2B5EF4-FFF2-40B4-BE49-F238E27FC236}">
              <a16:creationId xmlns:a16="http://schemas.microsoft.com/office/drawing/2014/main" id="{00000000-0008-0000-0100-000058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01" name="연결선: 꺾임 64600">
          <a:extLst>
            <a:ext uri="{FF2B5EF4-FFF2-40B4-BE49-F238E27FC236}">
              <a16:creationId xmlns:a16="http://schemas.microsoft.com/office/drawing/2014/main" id="{00000000-0008-0000-0100-000059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59" name="연결선: 꺾임 64658">
          <a:extLst>
            <a:ext uri="{FF2B5EF4-FFF2-40B4-BE49-F238E27FC236}">
              <a16:creationId xmlns:a16="http://schemas.microsoft.com/office/drawing/2014/main" id="{00000000-0008-0000-0100-000093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0" name="연결선: 꺾임 64659">
          <a:extLst>
            <a:ext uri="{FF2B5EF4-FFF2-40B4-BE49-F238E27FC236}">
              <a16:creationId xmlns:a16="http://schemas.microsoft.com/office/drawing/2014/main" id="{00000000-0008-0000-0100-000094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1" name="연결선: 꺾임 64660">
          <a:extLst>
            <a:ext uri="{FF2B5EF4-FFF2-40B4-BE49-F238E27FC236}">
              <a16:creationId xmlns:a16="http://schemas.microsoft.com/office/drawing/2014/main" id="{00000000-0008-0000-0100-000095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2" name="연결선: 꺾임 64661">
          <a:extLst>
            <a:ext uri="{FF2B5EF4-FFF2-40B4-BE49-F238E27FC236}">
              <a16:creationId xmlns:a16="http://schemas.microsoft.com/office/drawing/2014/main" id="{00000000-0008-0000-0100-000096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3" name="연결선: 꺾임 64662">
          <a:extLst>
            <a:ext uri="{FF2B5EF4-FFF2-40B4-BE49-F238E27FC236}">
              <a16:creationId xmlns:a16="http://schemas.microsoft.com/office/drawing/2014/main" id="{00000000-0008-0000-0100-000097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4" name="연결선: 꺾임 64663">
          <a:extLst>
            <a:ext uri="{FF2B5EF4-FFF2-40B4-BE49-F238E27FC236}">
              <a16:creationId xmlns:a16="http://schemas.microsoft.com/office/drawing/2014/main" id="{00000000-0008-0000-0100-000098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5" name="연결선: 꺾임 64664">
          <a:extLst>
            <a:ext uri="{FF2B5EF4-FFF2-40B4-BE49-F238E27FC236}">
              <a16:creationId xmlns:a16="http://schemas.microsoft.com/office/drawing/2014/main" id="{00000000-0008-0000-0100-000099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6" name="연결선: 꺾임 64665">
          <a:extLst>
            <a:ext uri="{FF2B5EF4-FFF2-40B4-BE49-F238E27FC236}">
              <a16:creationId xmlns:a16="http://schemas.microsoft.com/office/drawing/2014/main" id="{00000000-0008-0000-0100-00009A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7" name="연결선: 꺾임 64666">
          <a:extLst>
            <a:ext uri="{FF2B5EF4-FFF2-40B4-BE49-F238E27FC236}">
              <a16:creationId xmlns:a16="http://schemas.microsoft.com/office/drawing/2014/main" id="{00000000-0008-0000-0100-00009B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8" name="연결선: 꺾임 64667">
          <a:extLst>
            <a:ext uri="{FF2B5EF4-FFF2-40B4-BE49-F238E27FC236}">
              <a16:creationId xmlns:a16="http://schemas.microsoft.com/office/drawing/2014/main" id="{00000000-0008-0000-0100-00009C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0" name="연결선: 꺾임 64579">
          <a:extLst>
            <a:ext uri="{FF2B5EF4-FFF2-40B4-BE49-F238E27FC236}">
              <a16:creationId xmlns:a16="http://schemas.microsoft.com/office/drawing/2014/main" id="{00000000-0008-0000-0100-000044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1" name="연결선: 꺾임 64580">
          <a:extLst>
            <a:ext uri="{FF2B5EF4-FFF2-40B4-BE49-F238E27FC236}">
              <a16:creationId xmlns:a16="http://schemas.microsoft.com/office/drawing/2014/main" id="{00000000-0008-0000-0100-000045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2" name="연결선: 꺾임 64581">
          <a:extLst>
            <a:ext uri="{FF2B5EF4-FFF2-40B4-BE49-F238E27FC236}">
              <a16:creationId xmlns:a16="http://schemas.microsoft.com/office/drawing/2014/main" id="{00000000-0008-0000-0100-000046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3" name="연결선: 꺾임 64582">
          <a:extLst>
            <a:ext uri="{FF2B5EF4-FFF2-40B4-BE49-F238E27FC236}">
              <a16:creationId xmlns:a16="http://schemas.microsoft.com/office/drawing/2014/main" id="{00000000-0008-0000-0100-000047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4" name="연결선: 꺾임 64583">
          <a:extLst>
            <a:ext uri="{FF2B5EF4-FFF2-40B4-BE49-F238E27FC236}">
              <a16:creationId xmlns:a16="http://schemas.microsoft.com/office/drawing/2014/main" id="{00000000-0008-0000-0100-000048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5" name="연결선: 꺾임 64584">
          <a:extLst>
            <a:ext uri="{FF2B5EF4-FFF2-40B4-BE49-F238E27FC236}">
              <a16:creationId xmlns:a16="http://schemas.microsoft.com/office/drawing/2014/main" id="{00000000-0008-0000-0100-000049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6" name="연결선: 꺾임 64585">
          <a:extLst>
            <a:ext uri="{FF2B5EF4-FFF2-40B4-BE49-F238E27FC236}">
              <a16:creationId xmlns:a16="http://schemas.microsoft.com/office/drawing/2014/main" id="{00000000-0008-0000-0100-00004A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7" name="연결선: 꺾임 64586">
          <a:extLst>
            <a:ext uri="{FF2B5EF4-FFF2-40B4-BE49-F238E27FC236}">
              <a16:creationId xmlns:a16="http://schemas.microsoft.com/office/drawing/2014/main" id="{00000000-0008-0000-0100-00004B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8" name="연결선: 꺾임 64587">
          <a:extLst>
            <a:ext uri="{FF2B5EF4-FFF2-40B4-BE49-F238E27FC236}">
              <a16:creationId xmlns:a16="http://schemas.microsoft.com/office/drawing/2014/main" id="{00000000-0008-0000-0100-00004C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9" name="연결선: 꺾임 64588">
          <a:extLst>
            <a:ext uri="{FF2B5EF4-FFF2-40B4-BE49-F238E27FC236}">
              <a16:creationId xmlns:a16="http://schemas.microsoft.com/office/drawing/2014/main" id="{00000000-0008-0000-0100-00004D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0" name="연결선: 꺾임 65019">
          <a:extLst>
            <a:ext uri="{FF2B5EF4-FFF2-40B4-BE49-F238E27FC236}">
              <a16:creationId xmlns:a16="http://schemas.microsoft.com/office/drawing/2014/main" id="{00000000-0008-0000-0100-0000FCFD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1" name="연결선: 꺾임 65020">
          <a:extLst>
            <a:ext uri="{FF2B5EF4-FFF2-40B4-BE49-F238E27FC236}">
              <a16:creationId xmlns:a16="http://schemas.microsoft.com/office/drawing/2014/main" id="{00000000-0008-0000-0100-0000FDFD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2" name="연결선: 꺾임 65021">
          <a:extLst>
            <a:ext uri="{FF2B5EF4-FFF2-40B4-BE49-F238E27FC236}">
              <a16:creationId xmlns:a16="http://schemas.microsoft.com/office/drawing/2014/main" id="{00000000-0008-0000-0100-0000FEFD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3" name="연결선: 꺾임 65022">
          <a:extLst>
            <a:ext uri="{FF2B5EF4-FFF2-40B4-BE49-F238E27FC236}">
              <a16:creationId xmlns:a16="http://schemas.microsoft.com/office/drawing/2014/main" id="{00000000-0008-0000-0100-0000FFFD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9" name="연결선: 꺾임 2468">
          <a:extLst>
            <a:ext uri="{FF2B5EF4-FFF2-40B4-BE49-F238E27FC236}">
              <a16:creationId xmlns:a16="http://schemas.microsoft.com/office/drawing/2014/main" id="{00000000-0008-0000-0100-0000A5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0" name="연결선: 꺾임 2469">
          <a:extLst>
            <a:ext uri="{FF2B5EF4-FFF2-40B4-BE49-F238E27FC236}">
              <a16:creationId xmlns:a16="http://schemas.microsoft.com/office/drawing/2014/main" id="{00000000-0008-0000-0100-0000A6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1" name="연결선: 꺾임 2470">
          <a:extLst>
            <a:ext uri="{FF2B5EF4-FFF2-40B4-BE49-F238E27FC236}">
              <a16:creationId xmlns:a16="http://schemas.microsoft.com/office/drawing/2014/main" id="{00000000-0008-0000-0100-0000A7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2" name="연결선: 꺾임 2471">
          <a:extLst>
            <a:ext uri="{FF2B5EF4-FFF2-40B4-BE49-F238E27FC236}">
              <a16:creationId xmlns:a16="http://schemas.microsoft.com/office/drawing/2014/main" id="{00000000-0008-0000-0100-0000A8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7" name="연결선: 꺾임 2476">
          <a:extLst>
            <a:ext uri="{FF2B5EF4-FFF2-40B4-BE49-F238E27FC236}">
              <a16:creationId xmlns:a16="http://schemas.microsoft.com/office/drawing/2014/main" id="{00000000-0008-0000-0100-0000AD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9" name="연결선: 꺾임 2488">
          <a:extLst>
            <a:ext uri="{FF2B5EF4-FFF2-40B4-BE49-F238E27FC236}">
              <a16:creationId xmlns:a16="http://schemas.microsoft.com/office/drawing/2014/main" id="{00000000-0008-0000-0100-0000B9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42" name="연결선: 꺾임 62141">
          <a:extLst>
            <a:ext uri="{FF2B5EF4-FFF2-40B4-BE49-F238E27FC236}">
              <a16:creationId xmlns:a16="http://schemas.microsoft.com/office/drawing/2014/main" id="{00000000-0008-0000-0100-0000BE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43" name="연결선: 꺾임 62142">
          <a:extLst>
            <a:ext uri="{FF2B5EF4-FFF2-40B4-BE49-F238E27FC236}">
              <a16:creationId xmlns:a16="http://schemas.microsoft.com/office/drawing/2014/main" id="{00000000-0008-0000-0100-0000BF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6" name="연결선: 꺾임 18005">
          <a:extLst>
            <a:ext uri="{FF2B5EF4-FFF2-40B4-BE49-F238E27FC236}">
              <a16:creationId xmlns:a16="http://schemas.microsoft.com/office/drawing/2014/main" id="{00000000-0008-0000-0100-000056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7" name="연결선: 꺾임 18006">
          <a:extLst>
            <a:ext uri="{FF2B5EF4-FFF2-40B4-BE49-F238E27FC236}">
              <a16:creationId xmlns:a16="http://schemas.microsoft.com/office/drawing/2014/main" id="{00000000-0008-0000-0100-000057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8" name="연결선: 꺾임 18007">
          <a:extLst>
            <a:ext uri="{FF2B5EF4-FFF2-40B4-BE49-F238E27FC236}">
              <a16:creationId xmlns:a16="http://schemas.microsoft.com/office/drawing/2014/main" id="{00000000-0008-0000-0100-000058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9" name="연결선: 꺾임 18008">
          <a:extLst>
            <a:ext uri="{FF2B5EF4-FFF2-40B4-BE49-F238E27FC236}">
              <a16:creationId xmlns:a16="http://schemas.microsoft.com/office/drawing/2014/main" id="{00000000-0008-0000-0100-000059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0" name="연결선: 꺾임 18009">
          <a:extLst>
            <a:ext uri="{FF2B5EF4-FFF2-40B4-BE49-F238E27FC236}">
              <a16:creationId xmlns:a16="http://schemas.microsoft.com/office/drawing/2014/main" id="{00000000-0008-0000-0100-00005A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5" name="연결선: 꺾임 18014">
          <a:extLst>
            <a:ext uri="{FF2B5EF4-FFF2-40B4-BE49-F238E27FC236}">
              <a16:creationId xmlns:a16="http://schemas.microsoft.com/office/drawing/2014/main" id="{00000000-0008-0000-0100-00005F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6" name="연결선: 꺾임 18015">
          <a:extLst>
            <a:ext uri="{FF2B5EF4-FFF2-40B4-BE49-F238E27FC236}">
              <a16:creationId xmlns:a16="http://schemas.microsoft.com/office/drawing/2014/main" id="{00000000-0008-0000-0100-000060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9" name="연결선: 꺾임 18018">
          <a:extLst>
            <a:ext uri="{FF2B5EF4-FFF2-40B4-BE49-F238E27FC236}">
              <a16:creationId xmlns:a16="http://schemas.microsoft.com/office/drawing/2014/main" id="{00000000-0008-0000-0100-000063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3" name="연결선: 꺾임 18092">
          <a:extLst>
            <a:ext uri="{FF2B5EF4-FFF2-40B4-BE49-F238E27FC236}">
              <a16:creationId xmlns:a16="http://schemas.microsoft.com/office/drawing/2014/main" id="{00000000-0008-0000-0100-0000AD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4" name="연결선: 꺾임 18093">
          <a:extLst>
            <a:ext uri="{FF2B5EF4-FFF2-40B4-BE49-F238E27FC236}">
              <a16:creationId xmlns:a16="http://schemas.microsoft.com/office/drawing/2014/main" id="{00000000-0008-0000-0100-0000AE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5" name="연결선: 꺾임 18094">
          <a:extLst>
            <a:ext uri="{FF2B5EF4-FFF2-40B4-BE49-F238E27FC236}">
              <a16:creationId xmlns:a16="http://schemas.microsoft.com/office/drawing/2014/main" id="{00000000-0008-0000-0100-0000AF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6" name="연결선: 꺾임 18095">
          <a:extLst>
            <a:ext uri="{FF2B5EF4-FFF2-40B4-BE49-F238E27FC236}">
              <a16:creationId xmlns:a16="http://schemas.microsoft.com/office/drawing/2014/main" id="{00000000-0008-0000-0100-0000B0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7" name="연결선: 꺾임 18096">
          <a:extLst>
            <a:ext uri="{FF2B5EF4-FFF2-40B4-BE49-F238E27FC236}">
              <a16:creationId xmlns:a16="http://schemas.microsoft.com/office/drawing/2014/main" id="{00000000-0008-0000-0100-0000B1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8" name="연결선: 꺾임 18097">
          <a:extLst>
            <a:ext uri="{FF2B5EF4-FFF2-40B4-BE49-F238E27FC236}">
              <a16:creationId xmlns:a16="http://schemas.microsoft.com/office/drawing/2014/main" id="{00000000-0008-0000-0100-0000B2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9" name="연결선: 꺾임 18098">
          <a:extLst>
            <a:ext uri="{FF2B5EF4-FFF2-40B4-BE49-F238E27FC236}">
              <a16:creationId xmlns:a16="http://schemas.microsoft.com/office/drawing/2014/main" id="{00000000-0008-0000-0100-0000B3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2" name="연결선: 꺾임 18101">
          <a:extLst>
            <a:ext uri="{FF2B5EF4-FFF2-40B4-BE49-F238E27FC236}">
              <a16:creationId xmlns:a16="http://schemas.microsoft.com/office/drawing/2014/main" id="{00000000-0008-0000-0100-0000B6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5" name="연결선: 꺾임 18104">
          <a:extLst>
            <a:ext uri="{FF2B5EF4-FFF2-40B4-BE49-F238E27FC236}">
              <a16:creationId xmlns:a16="http://schemas.microsoft.com/office/drawing/2014/main" id="{00000000-0008-0000-0100-0000B9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6" name="연결선: 꺾임 18105">
          <a:extLst>
            <a:ext uri="{FF2B5EF4-FFF2-40B4-BE49-F238E27FC236}">
              <a16:creationId xmlns:a16="http://schemas.microsoft.com/office/drawing/2014/main" id="{00000000-0008-0000-0100-0000BA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58" name="연결선: 꺾임 18557">
          <a:extLst>
            <a:ext uri="{FF2B5EF4-FFF2-40B4-BE49-F238E27FC236}">
              <a16:creationId xmlns:a16="http://schemas.microsoft.com/office/drawing/2014/main" id="{00000000-0008-0000-0100-00007E48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59" name="연결선: 꺾임 18558">
          <a:extLst>
            <a:ext uri="{FF2B5EF4-FFF2-40B4-BE49-F238E27FC236}">
              <a16:creationId xmlns:a16="http://schemas.microsoft.com/office/drawing/2014/main" id="{00000000-0008-0000-0100-00007F48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4" name="연결선: 꺾임 65023">
          <a:extLst>
            <a:ext uri="{FF2B5EF4-FFF2-40B4-BE49-F238E27FC236}">
              <a16:creationId xmlns:a16="http://schemas.microsoft.com/office/drawing/2014/main" id="{00000000-0008-0000-0100-000000FE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5" name="연결선: 꺾임 65024">
          <a:extLst>
            <a:ext uri="{FF2B5EF4-FFF2-40B4-BE49-F238E27FC236}">
              <a16:creationId xmlns:a16="http://schemas.microsoft.com/office/drawing/2014/main" id="{00000000-0008-0000-0100-000001FE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6" name="연결선: 꺾임 65025">
          <a:extLst>
            <a:ext uri="{FF2B5EF4-FFF2-40B4-BE49-F238E27FC236}">
              <a16:creationId xmlns:a16="http://schemas.microsoft.com/office/drawing/2014/main" id="{00000000-0008-0000-0100-000002FE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7" name="연결선: 꺾임 65026">
          <a:extLst>
            <a:ext uri="{FF2B5EF4-FFF2-40B4-BE49-F238E27FC236}">
              <a16:creationId xmlns:a16="http://schemas.microsoft.com/office/drawing/2014/main" id="{00000000-0008-0000-0100-000003FE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8" name="연결선: 꺾임 65027">
          <a:extLst>
            <a:ext uri="{FF2B5EF4-FFF2-40B4-BE49-F238E27FC236}">
              <a16:creationId xmlns:a16="http://schemas.microsoft.com/office/drawing/2014/main" id="{00000000-0008-0000-0100-000004FE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9" name="연결선: 꺾임 65028">
          <a:extLst>
            <a:ext uri="{FF2B5EF4-FFF2-40B4-BE49-F238E27FC236}">
              <a16:creationId xmlns:a16="http://schemas.microsoft.com/office/drawing/2014/main" id="{00000000-0008-0000-0100-000005FE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30" name="연결선: 꺾임 65029">
          <a:extLst>
            <a:ext uri="{FF2B5EF4-FFF2-40B4-BE49-F238E27FC236}">
              <a16:creationId xmlns:a16="http://schemas.microsoft.com/office/drawing/2014/main" id="{00000000-0008-0000-0100-000006FE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31" name="연결선: 꺾임 65030">
          <a:extLst>
            <a:ext uri="{FF2B5EF4-FFF2-40B4-BE49-F238E27FC236}">
              <a16:creationId xmlns:a16="http://schemas.microsoft.com/office/drawing/2014/main" id="{00000000-0008-0000-0100-000007FE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 name="연결선: 꺾임 1">
          <a:extLst>
            <a:ext uri="{FF2B5EF4-FFF2-40B4-BE49-F238E27FC236}">
              <a16:creationId xmlns:a16="http://schemas.microsoft.com/office/drawing/2014/main" id="{00000000-0008-0000-0100-000002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 name="연결선: 꺾임 2">
          <a:extLst>
            <a:ext uri="{FF2B5EF4-FFF2-40B4-BE49-F238E27FC236}">
              <a16:creationId xmlns:a16="http://schemas.microsoft.com/office/drawing/2014/main" id="{00000000-0008-0000-0100-000003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 name="연결선: 꺾임 3">
          <a:extLst>
            <a:ext uri="{FF2B5EF4-FFF2-40B4-BE49-F238E27FC236}">
              <a16:creationId xmlns:a16="http://schemas.microsoft.com/office/drawing/2014/main" id="{00000000-0008-0000-0100-000004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 name="연결선: 꺾임 4">
          <a:extLst>
            <a:ext uri="{FF2B5EF4-FFF2-40B4-BE49-F238E27FC236}">
              <a16:creationId xmlns:a16="http://schemas.microsoft.com/office/drawing/2014/main" id="{00000000-0008-0000-0100-000005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 name="연결선: 꺾임 5">
          <a:extLst>
            <a:ext uri="{FF2B5EF4-FFF2-40B4-BE49-F238E27FC236}">
              <a16:creationId xmlns:a16="http://schemas.microsoft.com/office/drawing/2014/main" id="{00000000-0008-0000-0100-000006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 name="연결선: 꺾임 6">
          <a:extLst>
            <a:ext uri="{FF2B5EF4-FFF2-40B4-BE49-F238E27FC236}">
              <a16:creationId xmlns:a16="http://schemas.microsoft.com/office/drawing/2014/main" id="{00000000-0008-0000-0100-000007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8" name="연결선: 꺾임 7">
          <a:extLst>
            <a:ext uri="{FF2B5EF4-FFF2-40B4-BE49-F238E27FC236}">
              <a16:creationId xmlns:a16="http://schemas.microsoft.com/office/drawing/2014/main" id="{00000000-0008-0000-0100-000008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9" name="연결선: 꺾임 8">
          <a:extLst>
            <a:ext uri="{FF2B5EF4-FFF2-40B4-BE49-F238E27FC236}">
              <a16:creationId xmlns:a16="http://schemas.microsoft.com/office/drawing/2014/main" id="{00000000-0008-0000-0100-000009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 name="연결선: 꺾임 13">
          <a:extLst>
            <a:ext uri="{FF2B5EF4-FFF2-40B4-BE49-F238E27FC236}">
              <a16:creationId xmlns:a16="http://schemas.microsoft.com/office/drawing/2014/main" id="{00000000-0008-0000-0100-00000E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 name="연결선: 꺾임 14">
          <a:extLst>
            <a:ext uri="{FF2B5EF4-FFF2-40B4-BE49-F238E27FC236}">
              <a16:creationId xmlns:a16="http://schemas.microsoft.com/office/drawing/2014/main" id="{00000000-0008-0000-0100-00000F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 name="연결선: 꺾임 15">
          <a:extLst>
            <a:ext uri="{FF2B5EF4-FFF2-40B4-BE49-F238E27FC236}">
              <a16:creationId xmlns:a16="http://schemas.microsoft.com/office/drawing/2014/main" id="{00000000-0008-0000-0100-000010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 name="연결선: 꺾임 25">
          <a:extLst>
            <a:ext uri="{FF2B5EF4-FFF2-40B4-BE49-F238E27FC236}">
              <a16:creationId xmlns:a16="http://schemas.microsoft.com/office/drawing/2014/main" id="{00000000-0008-0000-0100-00001A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 name="연결선: 꺾임 26">
          <a:extLst>
            <a:ext uri="{FF2B5EF4-FFF2-40B4-BE49-F238E27FC236}">
              <a16:creationId xmlns:a16="http://schemas.microsoft.com/office/drawing/2014/main" id="{00000000-0008-0000-0100-00001B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 name="연결선: 꺾임 27">
          <a:extLst>
            <a:ext uri="{FF2B5EF4-FFF2-40B4-BE49-F238E27FC236}">
              <a16:creationId xmlns:a16="http://schemas.microsoft.com/office/drawing/2014/main" id="{00000000-0008-0000-0100-00001C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 name="연결선: 꺾임 28">
          <a:extLst>
            <a:ext uri="{FF2B5EF4-FFF2-40B4-BE49-F238E27FC236}">
              <a16:creationId xmlns:a16="http://schemas.microsoft.com/office/drawing/2014/main" id="{00000000-0008-0000-0100-00001D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 name="연결선: 꺾임 29">
          <a:extLst>
            <a:ext uri="{FF2B5EF4-FFF2-40B4-BE49-F238E27FC236}">
              <a16:creationId xmlns:a16="http://schemas.microsoft.com/office/drawing/2014/main" id="{00000000-0008-0000-0100-00001E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 name="연결선: 꺾임 30">
          <a:extLst>
            <a:ext uri="{FF2B5EF4-FFF2-40B4-BE49-F238E27FC236}">
              <a16:creationId xmlns:a16="http://schemas.microsoft.com/office/drawing/2014/main" id="{00000000-0008-0000-0100-00001F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 name="연결선: 꺾임 31">
          <a:extLst>
            <a:ext uri="{FF2B5EF4-FFF2-40B4-BE49-F238E27FC236}">
              <a16:creationId xmlns:a16="http://schemas.microsoft.com/office/drawing/2014/main" id="{00000000-0008-0000-0100-000020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 name="연결선: 꺾임 32">
          <a:extLst>
            <a:ext uri="{FF2B5EF4-FFF2-40B4-BE49-F238E27FC236}">
              <a16:creationId xmlns:a16="http://schemas.microsoft.com/office/drawing/2014/main" id="{00000000-0008-0000-0100-000021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 name="연결선: 꺾임 37">
          <a:extLst>
            <a:ext uri="{FF2B5EF4-FFF2-40B4-BE49-F238E27FC236}">
              <a16:creationId xmlns:a16="http://schemas.microsoft.com/office/drawing/2014/main" id="{00000000-0008-0000-0100-000026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95" name="연결선: 꺾임 64694">
          <a:extLst>
            <a:ext uri="{FF2B5EF4-FFF2-40B4-BE49-F238E27FC236}">
              <a16:creationId xmlns:a16="http://schemas.microsoft.com/office/drawing/2014/main" id="{00000000-0008-0000-0100-0000B7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102054</xdr:colOff>
      <xdr:row>3</xdr:row>
      <xdr:rowOff>76073</xdr:rowOff>
    </xdr:from>
    <xdr:to>
      <xdr:col>35</xdr:col>
      <xdr:colOff>102054</xdr:colOff>
      <xdr:row>70</xdr:row>
      <xdr:rowOff>0</xdr:rowOff>
    </xdr:to>
    <xdr:cxnSp macro="">
      <xdr:nvCxnSpPr>
        <xdr:cNvPr id="66014" name="직선 화살표 연결선 66013">
          <a:extLst>
            <a:ext uri="{FF2B5EF4-FFF2-40B4-BE49-F238E27FC236}">
              <a16:creationId xmlns:a16="http://schemas.microsoft.com/office/drawing/2014/main" id="{59D58606-F5CA-0AC8-7CE9-9C5F1CC2E9CA}"/>
            </a:ext>
          </a:extLst>
        </xdr:cNvPr>
        <xdr:cNvCxnSpPr/>
      </xdr:nvCxnSpPr>
      <xdr:spPr>
        <a:xfrm>
          <a:off x="13227504" y="819023"/>
          <a:ext cx="0" cy="10058527"/>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20411</xdr:colOff>
      <xdr:row>69</xdr:row>
      <xdr:rowOff>19050</xdr:rowOff>
    </xdr:from>
    <xdr:to>
      <xdr:col>41</xdr:col>
      <xdr:colOff>123734</xdr:colOff>
      <xdr:row>69</xdr:row>
      <xdr:rowOff>133350</xdr:rowOff>
    </xdr:to>
    <xdr:sp macro="" textlink="">
      <xdr:nvSpPr>
        <xdr:cNvPr id="66015" name="66">
          <a:extLst>
            <a:ext uri="{FF2B5EF4-FFF2-40B4-BE49-F238E27FC236}">
              <a16:creationId xmlns:a16="http://schemas.microsoft.com/office/drawing/2014/main" id="{0CCAC938-782E-FE53-7887-791E66B29FE1}"/>
            </a:ext>
          </a:extLst>
        </xdr:cNvPr>
        <xdr:cNvSpPr/>
      </xdr:nvSpPr>
      <xdr:spPr>
        <a:xfrm>
          <a:off x="13860236" y="10744200"/>
          <a:ext cx="246198"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20411</xdr:colOff>
      <xdr:row>69</xdr:row>
      <xdr:rowOff>76200</xdr:rowOff>
    </xdr:from>
    <xdr:to>
      <xdr:col>40</xdr:col>
      <xdr:colOff>20411</xdr:colOff>
      <xdr:row>69</xdr:row>
      <xdr:rowOff>76200</xdr:rowOff>
    </xdr:to>
    <xdr:cxnSp macro="">
      <xdr:nvCxnSpPr>
        <xdr:cNvPr id="66016" name="직선 화살표 연결선 66015">
          <a:extLst>
            <a:ext uri="{FF2B5EF4-FFF2-40B4-BE49-F238E27FC236}">
              <a16:creationId xmlns:a16="http://schemas.microsoft.com/office/drawing/2014/main" id="{9FB30DC7-B3D0-4E72-85F8-3D69349DEC3D}"/>
            </a:ext>
          </a:extLst>
        </xdr:cNvPr>
        <xdr:cNvCxnSpPr/>
      </xdr:nvCxnSpPr>
      <xdr:spPr>
        <a:xfrm>
          <a:off x="13860236" y="10801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20411</xdr:colOff>
      <xdr:row>68</xdr:row>
      <xdr:rowOff>19050</xdr:rowOff>
    </xdr:from>
    <xdr:to>
      <xdr:col>41</xdr:col>
      <xdr:colOff>123734</xdr:colOff>
      <xdr:row>68</xdr:row>
      <xdr:rowOff>133350</xdr:rowOff>
    </xdr:to>
    <xdr:sp macro="" textlink="">
      <xdr:nvSpPr>
        <xdr:cNvPr id="66017" name="65">
          <a:extLst>
            <a:ext uri="{FF2B5EF4-FFF2-40B4-BE49-F238E27FC236}">
              <a16:creationId xmlns:a16="http://schemas.microsoft.com/office/drawing/2014/main" id="{2703B484-C3F9-ECA2-DF0F-CBA76F78770A}"/>
            </a:ext>
          </a:extLst>
        </xdr:cNvPr>
        <xdr:cNvSpPr/>
      </xdr:nvSpPr>
      <xdr:spPr>
        <a:xfrm>
          <a:off x="13860236" y="10591800"/>
          <a:ext cx="246198"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20411</xdr:colOff>
      <xdr:row>68</xdr:row>
      <xdr:rowOff>76200</xdr:rowOff>
    </xdr:from>
    <xdr:to>
      <xdr:col>40</xdr:col>
      <xdr:colOff>20411</xdr:colOff>
      <xdr:row>68</xdr:row>
      <xdr:rowOff>76200</xdr:rowOff>
    </xdr:to>
    <xdr:cxnSp macro="">
      <xdr:nvCxnSpPr>
        <xdr:cNvPr id="66018" name="직선 화살표 연결선 66017">
          <a:extLst>
            <a:ext uri="{FF2B5EF4-FFF2-40B4-BE49-F238E27FC236}">
              <a16:creationId xmlns:a16="http://schemas.microsoft.com/office/drawing/2014/main" id="{D7E17EC4-6D5C-C99F-66EC-06A750557011}"/>
            </a:ext>
          </a:extLst>
        </xdr:cNvPr>
        <xdr:cNvCxnSpPr/>
      </xdr:nvCxnSpPr>
      <xdr:spPr>
        <a:xfrm>
          <a:off x="13860236" y="10648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20411</xdr:colOff>
      <xdr:row>67</xdr:row>
      <xdr:rowOff>19050</xdr:rowOff>
    </xdr:from>
    <xdr:to>
      <xdr:col>41</xdr:col>
      <xdr:colOff>123734</xdr:colOff>
      <xdr:row>67</xdr:row>
      <xdr:rowOff>133350</xdr:rowOff>
    </xdr:to>
    <xdr:sp macro="" textlink="">
      <xdr:nvSpPr>
        <xdr:cNvPr id="66019" name="64">
          <a:extLst>
            <a:ext uri="{FF2B5EF4-FFF2-40B4-BE49-F238E27FC236}">
              <a16:creationId xmlns:a16="http://schemas.microsoft.com/office/drawing/2014/main" id="{0058FB68-10A2-67D9-E836-57026EF3903B}"/>
            </a:ext>
          </a:extLst>
        </xdr:cNvPr>
        <xdr:cNvSpPr/>
      </xdr:nvSpPr>
      <xdr:spPr>
        <a:xfrm>
          <a:off x="13860236" y="10439400"/>
          <a:ext cx="246198"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20411</xdr:colOff>
      <xdr:row>67</xdr:row>
      <xdr:rowOff>76200</xdr:rowOff>
    </xdr:from>
    <xdr:to>
      <xdr:col>40</xdr:col>
      <xdr:colOff>20411</xdr:colOff>
      <xdr:row>67</xdr:row>
      <xdr:rowOff>76200</xdr:rowOff>
    </xdr:to>
    <xdr:cxnSp macro="">
      <xdr:nvCxnSpPr>
        <xdr:cNvPr id="66020" name="직선 화살표 연결선 66019">
          <a:extLst>
            <a:ext uri="{FF2B5EF4-FFF2-40B4-BE49-F238E27FC236}">
              <a16:creationId xmlns:a16="http://schemas.microsoft.com/office/drawing/2014/main" id="{5E30009B-B04F-E5B0-B69D-C384AFBED743}"/>
            </a:ext>
          </a:extLst>
        </xdr:cNvPr>
        <xdr:cNvCxnSpPr/>
      </xdr:nvCxnSpPr>
      <xdr:spPr>
        <a:xfrm>
          <a:off x="13860236" y="10496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20411</xdr:colOff>
      <xdr:row>66</xdr:row>
      <xdr:rowOff>19050</xdr:rowOff>
    </xdr:from>
    <xdr:to>
      <xdr:col>41</xdr:col>
      <xdr:colOff>123734</xdr:colOff>
      <xdr:row>66</xdr:row>
      <xdr:rowOff>133350</xdr:rowOff>
    </xdr:to>
    <xdr:sp macro="" textlink="">
      <xdr:nvSpPr>
        <xdr:cNvPr id="66021" name="63">
          <a:extLst>
            <a:ext uri="{FF2B5EF4-FFF2-40B4-BE49-F238E27FC236}">
              <a16:creationId xmlns:a16="http://schemas.microsoft.com/office/drawing/2014/main" id="{17602B45-4B58-7A7C-AD05-B4B4C3174DCD}"/>
            </a:ext>
          </a:extLst>
        </xdr:cNvPr>
        <xdr:cNvSpPr/>
      </xdr:nvSpPr>
      <xdr:spPr>
        <a:xfrm>
          <a:off x="13860236" y="10287000"/>
          <a:ext cx="246198"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20411</xdr:colOff>
      <xdr:row>66</xdr:row>
      <xdr:rowOff>76200</xdr:rowOff>
    </xdr:from>
    <xdr:to>
      <xdr:col>40</xdr:col>
      <xdr:colOff>20411</xdr:colOff>
      <xdr:row>66</xdr:row>
      <xdr:rowOff>76200</xdr:rowOff>
    </xdr:to>
    <xdr:cxnSp macro="">
      <xdr:nvCxnSpPr>
        <xdr:cNvPr id="66022" name="직선 화살표 연결선 66021">
          <a:extLst>
            <a:ext uri="{FF2B5EF4-FFF2-40B4-BE49-F238E27FC236}">
              <a16:creationId xmlns:a16="http://schemas.microsoft.com/office/drawing/2014/main" id="{1EFB117D-E873-6F1B-23D9-FCF2BD5A61BE}"/>
            </a:ext>
          </a:extLst>
        </xdr:cNvPr>
        <xdr:cNvCxnSpPr/>
      </xdr:nvCxnSpPr>
      <xdr:spPr>
        <a:xfrm>
          <a:off x="13860236" y="10344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20411</xdr:colOff>
      <xdr:row>65</xdr:row>
      <xdr:rowOff>19050</xdr:rowOff>
    </xdr:from>
    <xdr:to>
      <xdr:col>41</xdr:col>
      <xdr:colOff>123734</xdr:colOff>
      <xdr:row>65</xdr:row>
      <xdr:rowOff>133350</xdr:rowOff>
    </xdr:to>
    <xdr:sp macro="" textlink="">
      <xdr:nvSpPr>
        <xdr:cNvPr id="66023" name="62">
          <a:extLst>
            <a:ext uri="{FF2B5EF4-FFF2-40B4-BE49-F238E27FC236}">
              <a16:creationId xmlns:a16="http://schemas.microsoft.com/office/drawing/2014/main" id="{93EB2C44-02BC-61DA-A789-42A18F3FD21C}"/>
            </a:ext>
          </a:extLst>
        </xdr:cNvPr>
        <xdr:cNvSpPr/>
      </xdr:nvSpPr>
      <xdr:spPr>
        <a:xfrm>
          <a:off x="13860236" y="10134600"/>
          <a:ext cx="246198"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20411</xdr:colOff>
      <xdr:row>65</xdr:row>
      <xdr:rowOff>76200</xdr:rowOff>
    </xdr:from>
    <xdr:to>
      <xdr:col>40</xdr:col>
      <xdr:colOff>20411</xdr:colOff>
      <xdr:row>65</xdr:row>
      <xdr:rowOff>76200</xdr:rowOff>
    </xdr:to>
    <xdr:cxnSp macro="">
      <xdr:nvCxnSpPr>
        <xdr:cNvPr id="66024" name="직선 화살표 연결선 66023">
          <a:extLst>
            <a:ext uri="{FF2B5EF4-FFF2-40B4-BE49-F238E27FC236}">
              <a16:creationId xmlns:a16="http://schemas.microsoft.com/office/drawing/2014/main" id="{8CAAA855-32B0-8149-9C95-B4EF14ADC759}"/>
            </a:ext>
          </a:extLst>
        </xdr:cNvPr>
        <xdr:cNvCxnSpPr/>
      </xdr:nvCxnSpPr>
      <xdr:spPr>
        <a:xfrm>
          <a:off x="13860236" y="10191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20411</xdr:colOff>
      <xdr:row>64</xdr:row>
      <xdr:rowOff>19050</xdr:rowOff>
    </xdr:from>
    <xdr:to>
      <xdr:col>39</xdr:col>
      <xdr:colOff>123734</xdr:colOff>
      <xdr:row>64</xdr:row>
      <xdr:rowOff>133350</xdr:rowOff>
    </xdr:to>
    <xdr:sp macro="" textlink="">
      <xdr:nvSpPr>
        <xdr:cNvPr id="66025" name="61">
          <a:extLst>
            <a:ext uri="{FF2B5EF4-FFF2-40B4-BE49-F238E27FC236}">
              <a16:creationId xmlns:a16="http://schemas.microsoft.com/office/drawing/2014/main" id="{2706ABF4-FB0A-1144-F031-871BA982D879}"/>
            </a:ext>
          </a:extLst>
        </xdr:cNvPr>
        <xdr:cNvSpPr/>
      </xdr:nvSpPr>
      <xdr:spPr>
        <a:xfrm>
          <a:off x="13717361" y="9982200"/>
          <a:ext cx="10332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20411</xdr:colOff>
      <xdr:row>64</xdr:row>
      <xdr:rowOff>76200</xdr:rowOff>
    </xdr:from>
    <xdr:to>
      <xdr:col>39</xdr:col>
      <xdr:colOff>20411</xdr:colOff>
      <xdr:row>64</xdr:row>
      <xdr:rowOff>76200</xdr:rowOff>
    </xdr:to>
    <xdr:cxnSp macro="">
      <xdr:nvCxnSpPr>
        <xdr:cNvPr id="66026" name="직선 화살표 연결선 66025">
          <a:extLst>
            <a:ext uri="{FF2B5EF4-FFF2-40B4-BE49-F238E27FC236}">
              <a16:creationId xmlns:a16="http://schemas.microsoft.com/office/drawing/2014/main" id="{719E553C-8B8D-66C3-C5D8-6CE1C3EF2A01}"/>
            </a:ext>
          </a:extLst>
        </xdr:cNvPr>
        <xdr:cNvCxnSpPr/>
      </xdr:nvCxnSpPr>
      <xdr:spPr>
        <a:xfrm>
          <a:off x="13717361" y="10039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20411</xdr:colOff>
      <xdr:row>63</xdr:row>
      <xdr:rowOff>19050</xdr:rowOff>
    </xdr:from>
    <xdr:to>
      <xdr:col>41</xdr:col>
      <xdr:colOff>123734</xdr:colOff>
      <xdr:row>63</xdr:row>
      <xdr:rowOff>133350</xdr:rowOff>
    </xdr:to>
    <xdr:sp macro="" textlink="">
      <xdr:nvSpPr>
        <xdr:cNvPr id="66027" name="60">
          <a:extLst>
            <a:ext uri="{FF2B5EF4-FFF2-40B4-BE49-F238E27FC236}">
              <a16:creationId xmlns:a16="http://schemas.microsoft.com/office/drawing/2014/main" id="{5ED411D1-9E22-E534-3E1A-87DEFE2DEE2D}"/>
            </a:ext>
          </a:extLst>
        </xdr:cNvPr>
        <xdr:cNvSpPr/>
      </xdr:nvSpPr>
      <xdr:spPr>
        <a:xfrm>
          <a:off x="13717361" y="9829800"/>
          <a:ext cx="389073"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20411</xdr:colOff>
      <xdr:row>63</xdr:row>
      <xdr:rowOff>76200</xdr:rowOff>
    </xdr:from>
    <xdr:to>
      <xdr:col>39</xdr:col>
      <xdr:colOff>20411</xdr:colOff>
      <xdr:row>63</xdr:row>
      <xdr:rowOff>76200</xdr:rowOff>
    </xdr:to>
    <xdr:cxnSp macro="">
      <xdr:nvCxnSpPr>
        <xdr:cNvPr id="66028" name="직선 화살표 연결선 66027">
          <a:extLst>
            <a:ext uri="{FF2B5EF4-FFF2-40B4-BE49-F238E27FC236}">
              <a16:creationId xmlns:a16="http://schemas.microsoft.com/office/drawing/2014/main" id="{93A2998B-AC05-78DA-AF2F-A5F77E9C7BDA}"/>
            </a:ext>
          </a:extLst>
        </xdr:cNvPr>
        <xdr:cNvCxnSpPr/>
      </xdr:nvCxnSpPr>
      <xdr:spPr>
        <a:xfrm>
          <a:off x="13717361" y="9886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20411</xdr:colOff>
      <xdr:row>62</xdr:row>
      <xdr:rowOff>19050</xdr:rowOff>
    </xdr:from>
    <xdr:to>
      <xdr:col>38</xdr:col>
      <xdr:colOff>123734</xdr:colOff>
      <xdr:row>62</xdr:row>
      <xdr:rowOff>133350</xdr:rowOff>
    </xdr:to>
    <xdr:sp macro="" textlink="">
      <xdr:nvSpPr>
        <xdr:cNvPr id="66029" name="59">
          <a:extLst>
            <a:ext uri="{FF2B5EF4-FFF2-40B4-BE49-F238E27FC236}">
              <a16:creationId xmlns:a16="http://schemas.microsoft.com/office/drawing/2014/main" id="{117BE383-6AA2-A4A6-49D4-EF054DF633A4}"/>
            </a:ext>
          </a:extLst>
        </xdr:cNvPr>
        <xdr:cNvSpPr/>
      </xdr:nvSpPr>
      <xdr:spPr>
        <a:xfrm>
          <a:off x="13574486" y="9677400"/>
          <a:ext cx="10332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20411</xdr:colOff>
      <xdr:row>62</xdr:row>
      <xdr:rowOff>76200</xdr:rowOff>
    </xdr:from>
    <xdr:to>
      <xdr:col>38</xdr:col>
      <xdr:colOff>20411</xdr:colOff>
      <xdr:row>62</xdr:row>
      <xdr:rowOff>76200</xdr:rowOff>
    </xdr:to>
    <xdr:cxnSp macro="">
      <xdr:nvCxnSpPr>
        <xdr:cNvPr id="66030" name="직선 화살표 연결선 66029">
          <a:extLst>
            <a:ext uri="{FF2B5EF4-FFF2-40B4-BE49-F238E27FC236}">
              <a16:creationId xmlns:a16="http://schemas.microsoft.com/office/drawing/2014/main" id="{1895D2EE-0753-FA15-FF68-1BBD2B923B64}"/>
            </a:ext>
          </a:extLst>
        </xdr:cNvPr>
        <xdr:cNvCxnSpPr/>
      </xdr:nvCxnSpPr>
      <xdr:spPr>
        <a:xfrm>
          <a:off x="13574486" y="9734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20411</xdr:colOff>
      <xdr:row>61</xdr:row>
      <xdr:rowOff>19050</xdr:rowOff>
    </xdr:from>
    <xdr:to>
      <xdr:col>38</xdr:col>
      <xdr:colOff>123734</xdr:colOff>
      <xdr:row>61</xdr:row>
      <xdr:rowOff>133350</xdr:rowOff>
    </xdr:to>
    <xdr:sp macro="" textlink="">
      <xdr:nvSpPr>
        <xdr:cNvPr id="66031" name="58">
          <a:extLst>
            <a:ext uri="{FF2B5EF4-FFF2-40B4-BE49-F238E27FC236}">
              <a16:creationId xmlns:a16="http://schemas.microsoft.com/office/drawing/2014/main" id="{8BEC1868-2CEE-512C-4350-821F96B4B548}"/>
            </a:ext>
          </a:extLst>
        </xdr:cNvPr>
        <xdr:cNvSpPr/>
      </xdr:nvSpPr>
      <xdr:spPr>
        <a:xfrm>
          <a:off x="13574486" y="9525000"/>
          <a:ext cx="10332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20411</xdr:colOff>
      <xdr:row>61</xdr:row>
      <xdr:rowOff>76200</xdr:rowOff>
    </xdr:from>
    <xdr:to>
      <xdr:col>38</xdr:col>
      <xdr:colOff>20411</xdr:colOff>
      <xdr:row>61</xdr:row>
      <xdr:rowOff>76200</xdr:rowOff>
    </xdr:to>
    <xdr:cxnSp macro="">
      <xdr:nvCxnSpPr>
        <xdr:cNvPr id="66032" name="직선 화살표 연결선 66031">
          <a:extLst>
            <a:ext uri="{FF2B5EF4-FFF2-40B4-BE49-F238E27FC236}">
              <a16:creationId xmlns:a16="http://schemas.microsoft.com/office/drawing/2014/main" id="{25EFF46D-6A7C-5117-3EA2-51867FC205B0}"/>
            </a:ext>
          </a:extLst>
        </xdr:cNvPr>
        <xdr:cNvCxnSpPr/>
      </xdr:nvCxnSpPr>
      <xdr:spPr>
        <a:xfrm>
          <a:off x="13574486" y="9582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20411</xdr:colOff>
      <xdr:row>60</xdr:row>
      <xdr:rowOff>19050</xdr:rowOff>
    </xdr:from>
    <xdr:to>
      <xdr:col>38</xdr:col>
      <xdr:colOff>123734</xdr:colOff>
      <xdr:row>60</xdr:row>
      <xdr:rowOff>133350</xdr:rowOff>
    </xdr:to>
    <xdr:sp macro="" textlink="">
      <xdr:nvSpPr>
        <xdr:cNvPr id="66033" name="57">
          <a:extLst>
            <a:ext uri="{FF2B5EF4-FFF2-40B4-BE49-F238E27FC236}">
              <a16:creationId xmlns:a16="http://schemas.microsoft.com/office/drawing/2014/main" id="{D5A0DA5D-23DA-7817-D76A-D45E233F7DDB}"/>
            </a:ext>
          </a:extLst>
        </xdr:cNvPr>
        <xdr:cNvSpPr/>
      </xdr:nvSpPr>
      <xdr:spPr>
        <a:xfrm>
          <a:off x="13574486" y="9372600"/>
          <a:ext cx="10332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20411</xdr:colOff>
      <xdr:row>60</xdr:row>
      <xdr:rowOff>76200</xdr:rowOff>
    </xdr:from>
    <xdr:to>
      <xdr:col>38</xdr:col>
      <xdr:colOff>20411</xdr:colOff>
      <xdr:row>60</xdr:row>
      <xdr:rowOff>76200</xdr:rowOff>
    </xdr:to>
    <xdr:cxnSp macro="">
      <xdr:nvCxnSpPr>
        <xdr:cNvPr id="66034" name="직선 화살표 연결선 66033">
          <a:extLst>
            <a:ext uri="{FF2B5EF4-FFF2-40B4-BE49-F238E27FC236}">
              <a16:creationId xmlns:a16="http://schemas.microsoft.com/office/drawing/2014/main" id="{94B2B9AB-3450-6553-D60A-294538F0766C}"/>
            </a:ext>
          </a:extLst>
        </xdr:cNvPr>
        <xdr:cNvCxnSpPr/>
      </xdr:nvCxnSpPr>
      <xdr:spPr>
        <a:xfrm>
          <a:off x="13574486" y="9429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20411</xdr:colOff>
      <xdr:row>59</xdr:row>
      <xdr:rowOff>19050</xdr:rowOff>
    </xdr:from>
    <xdr:to>
      <xdr:col>38</xdr:col>
      <xdr:colOff>123734</xdr:colOff>
      <xdr:row>59</xdr:row>
      <xdr:rowOff>133350</xdr:rowOff>
    </xdr:to>
    <xdr:sp macro="" textlink="">
      <xdr:nvSpPr>
        <xdr:cNvPr id="66035" name="56">
          <a:extLst>
            <a:ext uri="{FF2B5EF4-FFF2-40B4-BE49-F238E27FC236}">
              <a16:creationId xmlns:a16="http://schemas.microsoft.com/office/drawing/2014/main" id="{A38FE706-528D-6EBE-066A-860A1F614CA7}"/>
            </a:ext>
          </a:extLst>
        </xdr:cNvPr>
        <xdr:cNvSpPr/>
      </xdr:nvSpPr>
      <xdr:spPr>
        <a:xfrm>
          <a:off x="13574486" y="9220200"/>
          <a:ext cx="10332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20411</xdr:colOff>
      <xdr:row>59</xdr:row>
      <xdr:rowOff>76200</xdr:rowOff>
    </xdr:from>
    <xdr:to>
      <xdr:col>38</xdr:col>
      <xdr:colOff>20411</xdr:colOff>
      <xdr:row>59</xdr:row>
      <xdr:rowOff>76200</xdr:rowOff>
    </xdr:to>
    <xdr:cxnSp macro="">
      <xdr:nvCxnSpPr>
        <xdr:cNvPr id="66036" name="직선 화살표 연결선 66035">
          <a:extLst>
            <a:ext uri="{FF2B5EF4-FFF2-40B4-BE49-F238E27FC236}">
              <a16:creationId xmlns:a16="http://schemas.microsoft.com/office/drawing/2014/main" id="{175709A8-9EA1-AD84-9C13-E0BA792718D8}"/>
            </a:ext>
          </a:extLst>
        </xdr:cNvPr>
        <xdr:cNvCxnSpPr/>
      </xdr:nvCxnSpPr>
      <xdr:spPr>
        <a:xfrm>
          <a:off x="13574486" y="9277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20411</xdr:colOff>
      <xdr:row>58</xdr:row>
      <xdr:rowOff>19050</xdr:rowOff>
    </xdr:from>
    <xdr:to>
      <xdr:col>39</xdr:col>
      <xdr:colOff>123734</xdr:colOff>
      <xdr:row>58</xdr:row>
      <xdr:rowOff>133350</xdr:rowOff>
    </xdr:to>
    <xdr:sp macro="" textlink="">
      <xdr:nvSpPr>
        <xdr:cNvPr id="66037" name="55">
          <a:extLst>
            <a:ext uri="{FF2B5EF4-FFF2-40B4-BE49-F238E27FC236}">
              <a16:creationId xmlns:a16="http://schemas.microsoft.com/office/drawing/2014/main" id="{F9331756-B327-68B9-87B1-3DAEEDF47709}"/>
            </a:ext>
          </a:extLst>
        </xdr:cNvPr>
        <xdr:cNvSpPr/>
      </xdr:nvSpPr>
      <xdr:spPr>
        <a:xfrm>
          <a:off x="13717361" y="9067800"/>
          <a:ext cx="10332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20411</xdr:colOff>
      <xdr:row>58</xdr:row>
      <xdr:rowOff>76200</xdr:rowOff>
    </xdr:from>
    <xdr:to>
      <xdr:col>39</xdr:col>
      <xdr:colOff>20411</xdr:colOff>
      <xdr:row>58</xdr:row>
      <xdr:rowOff>76200</xdr:rowOff>
    </xdr:to>
    <xdr:cxnSp macro="">
      <xdr:nvCxnSpPr>
        <xdr:cNvPr id="66038" name="직선 화살표 연결선 66037">
          <a:extLst>
            <a:ext uri="{FF2B5EF4-FFF2-40B4-BE49-F238E27FC236}">
              <a16:creationId xmlns:a16="http://schemas.microsoft.com/office/drawing/2014/main" id="{916B7DCC-500C-625F-C2F8-6853FC6AA776}"/>
            </a:ext>
          </a:extLst>
        </xdr:cNvPr>
        <xdr:cNvCxnSpPr/>
      </xdr:nvCxnSpPr>
      <xdr:spPr>
        <a:xfrm>
          <a:off x="13717361" y="9124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20411</xdr:colOff>
      <xdr:row>57</xdr:row>
      <xdr:rowOff>19050</xdr:rowOff>
    </xdr:from>
    <xdr:to>
      <xdr:col>39</xdr:col>
      <xdr:colOff>123734</xdr:colOff>
      <xdr:row>57</xdr:row>
      <xdr:rowOff>133350</xdr:rowOff>
    </xdr:to>
    <xdr:sp macro="" textlink="">
      <xdr:nvSpPr>
        <xdr:cNvPr id="66039" name="54">
          <a:extLst>
            <a:ext uri="{FF2B5EF4-FFF2-40B4-BE49-F238E27FC236}">
              <a16:creationId xmlns:a16="http://schemas.microsoft.com/office/drawing/2014/main" id="{1414E076-3143-75BC-7082-B45A1FE1DA12}"/>
            </a:ext>
          </a:extLst>
        </xdr:cNvPr>
        <xdr:cNvSpPr/>
      </xdr:nvSpPr>
      <xdr:spPr>
        <a:xfrm>
          <a:off x="13574486" y="8915400"/>
          <a:ext cx="246198"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20411</xdr:colOff>
      <xdr:row>57</xdr:row>
      <xdr:rowOff>76200</xdr:rowOff>
    </xdr:from>
    <xdr:to>
      <xdr:col>38</xdr:col>
      <xdr:colOff>20411</xdr:colOff>
      <xdr:row>57</xdr:row>
      <xdr:rowOff>76200</xdr:rowOff>
    </xdr:to>
    <xdr:cxnSp macro="">
      <xdr:nvCxnSpPr>
        <xdr:cNvPr id="66040" name="직선 화살표 연결선 66039">
          <a:extLst>
            <a:ext uri="{FF2B5EF4-FFF2-40B4-BE49-F238E27FC236}">
              <a16:creationId xmlns:a16="http://schemas.microsoft.com/office/drawing/2014/main" id="{6A0011AB-0C95-B415-3FEE-4E397A42F8F2}"/>
            </a:ext>
          </a:extLst>
        </xdr:cNvPr>
        <xdr:cNvCxnSpPr/>
      </xdr:nvCxnSpPr>
      <xdr:spPr>
        <a:xfrm>
          <a:off x="13574486" y="8972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20411</xdr:colOff>
      <xdr:row>56</xdr:row>
      <xdr:rowOff>19050</xdr:rowOff>
    </xdr:from>
    <xdr:to>
      <xdr:col>37</xdr:col>
      <xdr:colOff>123734</xdr:colOff>
      <xdr:row>56</xdr:row>
      <xdr:rowOff>133350</xdr:rowOff>
    </xdr:to>
    <xdr:sp macro="" textlink="">
      <xdr:nvSpPr>
        <xdr:cNvPr id="66041" name="53">
          <a:extLst>
            <a:ext uri="{FF2B5EF4-FFF2-40B4-BE49-F238E27FC236}">
              <a16:creationId xmlns:a16="http://schemas.microsoft.com/office/drawing/2014/main" id="{B6E454E3-6E84-EA83-BB1F-F64EE80DB4CA}"/>
            </a:ext>
          </a:extLst>
        </xdr:cNvPr>
        <xdr:cNvSpPr/>
      </xdr:nvSpPr>
      <xdr:spPr>
        <a:xfrm>
          <a:off x="13431611" y="8763000"/>
          <a:ext cx="10332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20411</xdr:colOff>
      <xdr:row>56</xdr:row>
      <xdr:rowOff>76200</xdr:rowOff>
    </xdr:from>
    <xdr:to>
      <xdr:col>37</xdr:col>
      <xdr:colOff>20411</xdr:colOff>
      <xdr:row>56</xdr:row>
      <xdr:rowOff>76200</xdr:rowOff>
    </xdr:to>
    <xdr:cxnSp macro="">
      <xdr:nvCxnSpPr>
        <xdr:cNvPr id="66042" name="직선 화살표 연결선 66041">
          <a:extLst>
            <a:ext uri="{FF2B5EF4-FFF2-40B4-BE49-F238E27FC236}">
              <a16:creationId xmlns:a16="http://schemas.microsoft.com/office/drawing/2014/main" id="{11FED0C2-E4CE-F693-3CAA-5D0BB33F8374}"/>
            </a:ext>
          </a:extLst>
        </xdr:cNvPr>
        <xdr:cNvCxnSpPr/>
      </xdr:nvCxnSpPr>
      <xdr:spPr>
        <a:xfrm>
          <a:off x="13431611" y="8820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20411</xdr:colOff>
      <xdr:row>55</xdr:row>
      <xdr:rowOff>19050</xdr:rowOff>
    </xdr:from>
    <xdr:to>
      <xdr:col>37</xdr:col>
      <xdr:colOff>123734</xdr:colOff>
      <xdr:row>55</xdr:row>
      <xdr:rowOff>133350</xdr:rowOff>
    </xdr:to>
    <xdr:sp macro="" textlink="">
      <xdr:nvSpPr>
        <xdr:cNvPr id="66043" name="52">
          <a:extLst>
            <a:ext uri="{FF2B5EF4-FFF2-40B4-BE49-F238E27FC236}">
              <a16:creationId xmlns:a16="http://schemas.microsoft.com/office/drawing/2014/main" id="{24CAB7B1-D745-D645-7162-C35922948B43}"/>
            </a:ext>
          </a:extLst>
        </xdr:cNvPr>
        <xdr:cNvSpPr/>
      </xdr:nvSpPr>
      <xdr:spPr>
        <a:xfrm>
          <a:off x="13431611" y="8610600"/>
          <a:ext cx="10332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20411</xdr:colOff>
      <xdr:row>55</xdr:row>
      <xdr:rowOff>76200</xdr:rowOff>
    </xdr:from>
    <xdr:to>
      <xdr:col>37</xdr:col>
      <xdr:colOff>20411</xdr:colOff>
      <xdr:row>55</xdr:row>
      <xdr:rowOff>76200</xdr:rowOff>
    </xdr:to>
    <xdr:cxnSp macro="">
      <xdr:nvCxnSpPr>
        <xdr:cNvPr id="66044" name="직선 화살표 연결선 66043">
          <a:extLst>
            <a:ext uri="{FF2B5EF4-FFF2-40B4-BE49-F238E27FC236}">
              <a16:creationId xmlns:a16="http://schemas.microsoft.com/office/drawing/2014/main" id="{7F9C4157-B692-3BB8-4CC7-7D4463A527C7}"/>
            </a:ext>
          </a:extLst>
        </xdr:cNvPr>
        <xdr:cNvCxnSpPr/>
      </xdr:nvCxnSpPr>
      <xdr:spPr>
        <a:xfrm>
          <a:off x="13431611" y="8667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20411</xdr:colOff>
      <xdr:row>54</xdr:row>
      <xdr:rowOff>19050</xdr:rowOff>
    </xdr:from>
    <xdr:to>
      <xdr:col>37</xdr:col>
      <xdr:colOff>123734</xdr:colOff>
      <xdr:row>54</xdr:row>
      <xdr:rowOff>133350</xdr:rowOff>
    </xdr:to>
    <xdr:sp macro="" textlink="">
      <xdr:nvSpPr>
        <xdr:cNvPr id="66045" name="51">
          <a:extLst>
            <a:ext uri="{FF2B5EF4-FFF2-40B4-BE49-F238E27FC236}">
              <a16:creationId xmlns:a16="http://schemas.microsoft.com/office/drawing/2014/main" id="{93CAEC84-6DF1-54A3-FC3C-D2D44FE45EED}"/>
            </a:ext>
          </a:extLst>
        </xdr:cNvPr>
        <xdr:cNvSpPr/>
      </xdr:nvSpPr>
      <xdr:spPr>
        <a:xfrm>
          <a:off x="13431611" y="8458200"/>
          <a:ext cx="10332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20411</xdr:colOff>
      <xdr:row>54</xdr:row>
      <xdr:rowOff>76200</xdr:rowOff>
    </xdr:from>
    <xdr:to>
      <xdr:col>37</xdr:col>
      <xdr:colOff>20411</xdr:colOff>
      <xdr:row>54</xdr:row>
      <xdr:rowOff>76200</xdr:rowOff>
    </xdr:to>
    <xdr:cxnSp macro="">
      <xdr:nvCxnSpPr>
        <xdr:cNvPr id="66046" name="직선 화살표 연결선 66045">
          <a:extLst>
            <a:ext uri="{FF2B5EF4-FFF2-40B4-BE49-F238E27FC236}">
              <a16:creationId xmlns:a16="http://schemas.microsoft.com/office/drawing/2014/main" id="{4DEBE870-226F-B6E7-C764-7E6652CA1AEB}"/>
            </a:ext>
          </a:extLst>
        </xdr:cNvPr>
        <xdr:cNvCxnSpPr/>
      </xdr:nvCxnSpPr>
      <xdr:spPr>
        <a:xfrm>
          <a:off x="13431611" y="8515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20411</xdr:colOff>
      <xdr:row>53</xdr:row>
      <xdr:rowOff>19050</xdr:rowOff>
    </xdr:from>
    <xdr:to>
      <xdr:col>37</xdr:col>
      <xdr:colOff>123734</xdr:colOff>
      <xdr:row>53</xdr:row>
      <xdr:rowOff>133350</xdr:rowOff>
    </xdr:to>
    <xdr:sp macro="" textlink="">
      <xdr:nvSpPr>
        <xdr:cNvPr id="66047" name="50">
          <a:extLst>
            <a:ext uri="{FF2B5EF4-FFF2-40B4-BE49-F238E27FC236}">
              <a16:creationId xmlns:a16="http://schemas.microsoft.com/office/drawing/2014/main" id="{4448DEE1-9A71-EE03-75A6-6F275F51265C}"/>
            </a:ext>
          </a:extLst>
        </xdr:cNvPr>
        <xdr:cNvSpPr/>
      </xdr:nvSpPr>
      <xdr:spPr>
        <a:xfrm>
          <a:off x="13431611" y="8305800"/>
          <a:ext cx="10332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20411</xdr:colOff>
      <xdr:row>53</xdr:row>
      <xdr:rowOff>76200</xdr:rowOff>
    </xdr:from>
    <xdr:to>
      <xdr:col>37</xdr:col>
      <xdr:colOff>20411</xdr:colOff>
      <xdr:row>53</xdr:row>
      <xdr:rowOff>76200</xdr:rowOff>
    </xdr:to>
    <xdr:cxnSp macro="">
      <xdr:nvCxnSpPr>
        <xdr:cNvPr id="66048" name="직선 화살표 연결선 66047">
          <a:extLst>
            <a:ext uri="{FF2B5EF4-FFF2-40B4-BE49-F238E27FC236}">
              <a16:creationId xmlns:a16="http://schemas.microsoft.com/office/drawing/2014/main" id="{2B47AE71-5175-1310-E478-B51B690527E0}"/>
            </a:ext>
          </a:extLst>
        </xdr:cNvPr>
        <xdr:cNvCxnSpPr/>
      </xdr:nvCxnSpPr>
      <xdr:spPr>
        <a:xfrm>
          <a:off x="13431611" y="8362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20411</xdr:colOff>
      <xdr:row>52</xdr:row>
      <xdr:rowOff>19050</xdr:rowOff>
    </xdr:from>
    <xdr:to>
      <xdr:col>37</xdr:col>
      <xdr:colOff>123734</xdr:colOff>
      <xdr:row>52</xdr:row>
      <xdr:rowOff>133350</xdr:rowOff>
    </xdr:to>
    <xdr:sp macro="" textlink="">
      <xdr:nvSpPr>
        <xdr:cNvPr id="66049" name="49">
          <a:extLst>
            <a:ext uri="{FF2B5EF4-FFF2-40B4-BE49-F238E27FC236}">
              <a16:creationId xmlns:a16="http://schemas.microsoft.com/office/drawing/2014/main" id="{505B092F-65B4-0D39-D1C5-5C04C40A02D6}"/>
            </a:ext>
          </a:extLst>
        </xdr:cNvPr>
        <xdr:cNvSpPr/>
      </xdr:nvSpPr>
      <xdr:spPr>
        <a:xfrm>
          <a:off x="13431611" y="8153400"/>
          <a:ext cx="103323"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20411</xdr:colOff>
      <xdr:row>52</xdr:row>
      <xdr:rowOff>76200</xdr:rowOff>
    </xdr:from>
    <xdr:to>
      <xdr:col>37</xdr:col>
      <xdr:colOff>20411</xdr:colOff>
      <xdr:row>52</xdr:row>
      <xdr:rowOff>76200</xdr:rowOff>
    </xdr:to>
    <xdr:cxnSp macro="">
      <xdr:nvCxnSpPr>
        <xdr:cNvPr id="66050" name="직선 화살표 연결선 66049">
          <a:extLst>
            <a:ext uri="{FF2B5EF4-FFF2-40B4-BE49-F238E27FC236}">
              <a16:creationId xmlns:a16="http://schemas.microsoft.com/office/drawing/2014/main" id="{615786E6-1345-1D58-4AED-8926F7918417}"/>
            </a:ext>
          </a:extLst>
        </xdr:cNvPr>
        <xdr:cNvCxnSpPr/>
      </xdr:nvCxnSpPr>
      <xdr:spPr>
        <a:xfrm>
          <a:off x="13431611" y="8210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20411</xdr:colOff>
      <xdr:row>51</xdr:row>
      <xdr:rowOff>19050</xdr:rowOff>
    </xdr:from>
    <xdr:to>
      <xdr:col>36</xdr:col>
      <xdr:colOff>123734</xdr:colOff>
      <xdr:row>51</xdr:row>
      <xdr:rowOff>133350</xdr:rowOff>
    </xdr:to>
    <xdr:sp macro="" textlink="">
      <xdr:nvSpPr>
        <xdr:cNvPr id="66051" name="48">
          <a:extLst>
            <a:ext uri="{FF2B5EF4-FFF2-40B4-BE49-F238E27FC236}">
              <a16:creationId xmlns:a16="http://schemas.microsoft.com/office/drawing/2014/main" id="{D2C69B0A-4A5F-9396-A69B-F280308DE8FA}"/>
            </a:ext>
          </a:extLst>
        </xdr:cNvPr>
        <xdr:cNvSpPr/>
      </xdr:nvSpPr>
      <xdr:spPr>
        <a:xfrm>
          <a:off x="13288736" y="8001000"/>
          <a:ext cx="10332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20411</xdr:colOff>
      <xdr:row>51</xdr:row>
      <xdr:rowOff>76200</xdr:rowOff>
    </xdr:from>
    <xdr:to>
      <xdr:col>36</xdr:col>
      <xdr:colOff>20411</xdr:colOff>
      <xdr:row>51</xdr:row>
      <xdr:rowOff>76200</xdr:rowOff>
    </xdr:to>
    <xdr:cxnSp macro="">
      <xdr:nvCxnSpPr>
        <xdr:cNvPr id="66052" name="직선 화살표 연결선 66051">
          <a:extLst>
            <a:ext uri="{FF2B5EF4-FFF2-40B4-BE49-F238E27FC236}">
              <a16:creationId xmlns:a16="http://schemas.microsoft.com/office/drawing/2014/main" id="{4848EE5A-51D0-F140-55B4-931F7BDCD536}"/>
            </a:ext>
          </a:extLst>
        </xdr:cNvPr>
        <xdr:cNvCxnSpPr/>
      </xdr:nvCxnSpPr>
      <xdr:spPr>
        <a:xfrm>
          <a:off x="13288736" y="8058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20411</xdr:colOff>
      <xdr:row>50</xdr:row>
      <xdr:rowOff>19050</xdr:rowOff>
    </xdr:from>
    <xdr:to>
      <xdr:col>36</xdr:col>
      <xdr:colOff>123734</xdr:colOff>
      <xdr:row>50</xdr:row>
      <xdr:rowOff>133350</xdr:rowOff>
    </xdr:to>
    <xdr:sp macro="" textlink="">
      <xdr:nvSpPr>
        <xdr:cNvPr id="66053" name="47">
          <a:extLst>
            <a:ext uri="{FF2B5EF4-FFF2-40B4-BE49-F238E27FC236}">
              <a16:creationId xmlns:a16="http://schemas.microsoft.com/office/drawing/2014/main" id="{DB05D943-6B90-2CDA-2C77-A8971F84B3EF}"/>
            </a:ext>
          </a:extLst>
        </xdr:cNvPr>
        <xdr:cNvSpPr/>
      </xdr:nvSpPr>
      <xdr:spPr>
        <a:xfrm>
          <a:off x="13288736" y="7848600"/>
          <a:ext cx="10332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20411</xdr:colOff>
      <xdr:row>50</xdr:row>
      <xdr:rowOff>76200</xdr:rowOff>
    </xdr:from>
    <xdr:to>
      <xdr:col>36</xdr:col>
      <xdr:colOff>20411</xdr:colOff>
      <xdr:row>50</xdr:row>
      <xdr:rowOff>76200</xdr:rowOff>
    </xdr:to>
    <xdr:cxnSp macro="">
      <xdr:nvCxnSpPr>
        <xdr:cNvPr id="66054" name="직선 화살표 연결선 66053">
          <a:extLst>
            <a:ext uri="{FF2B5EF4-FFF2-40B4-BE49-F238E27FC236}">
              <a16:creationId xmlns:a16="http://schemas.microsoft.com/office/drawing/2014/main" id="{0AD4E994-5C82-FD57-BF14-B215F059E40B}"/>
            </a:ext>
          </a:extLst>
        </xdr:cNvPr>
        <xdr:cNvCxnSpPr/>
      </xdr:nvCxnSpPr>
      <xdr:spPr>
        <a:xfrm>
          <a:off x="13288736" y="7905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20411</xdr:colOff>
      <xdr:row>49</xdr:row>
      <xdr:rowOff>19050</xdr:rowOff>
    </xdr:from>
    <xdr:to>
      <xdr:col>36</xdr:col>
      <xdr:colOff>123734</xdr:colOff>
      <xdr:row>49</xdr:row>
      <xdr:rowOff>133350</xdr:rowOff>
    </xdr:to>
    <xdr:sp macro="" textlink="">
      <xdr:nvSpPr>
        <xdr:cNvPr id="66055" name="46">
          <a:extLst>
            <a:ext uri="{FF2B5EF4-FFF2-40B4-BE49-F238E27FC236}">
              <a16:creationId xmlns:a16="http://schemas.microsoft.com/office/drawing/2014/main" id="{E9B9A652-CB52-1BA2-B47D-E39BBE8D3E46}"/>
            </a:ext>
          </a:extLst>
        </xdr:cNvPr>
        <xdr:cNvSpPr/>
      </xdr:nvSpPr>
      <xdr:spPr>
        <a:xfrm>
          <a:off x="13288736" y="7696200"/>
          <a:ext cx="10332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20411</xdr:colOff>
      <xdr:row>49</xdr:row>
      <xdr:rowOff>76200</xdr:rowOff>
    </xdr:from>
    <xdr:to>
      <xdr:col>36</xdr:col>
      <xdr:colOff>20411</xdr:colOff>
      <xdr:row>49</xdr:row>
      <xdr:rowOff>76200</xdr:rowOff>
    </xdr:to>
    <xdr:cxnSp macro="">
      <xdr:nvCxnSpPr>
        <xdr:cNvPr id="66056" name="직선 화살표 연결선 66055">
          <a:extLst>
            <a:ext uri="{FF2B5EF4-FFF2-40B4-BE49-F238E27FC236}">
              <a16:creationId xmlns:a16="http://schemas.microsoft.com/office/drawing/2014/main" id="{49BE9992-7BF4-1A18-7388-A11A79886B53}"/>
            </a:ext>
          </a:extLst>
        </xdr:cNvPr>
        <xdr:cNvCxnSpPr/>
      </xdr:nvCxnSpPr>
      <xdr:spPr>
        <a:xfrm>
          <a:off x="13288736" y="7753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48</xdr:row>
      <xdr:rowOff>19050</xdr:rowOff>
    </xdr:from>
    <xdr:to>
      <xdr:col>35</xdr:col>
      <xdr:colOff>123734</xdr:colOff>
      <xdr:row>48</xdr:row>
      <xdr:rowOff>133350</xdr:rowOff>
    </xdr:to>
    <xdr:sp macro="" textlink="">
      <xdr:nvSpPr>
        <xdr:cNvPr id="66057" name="45">
          <a:extLst>
            <a:ext uri="{FF2B5EF4-FFF2-40B4-BE49-F238E27FC236}">
              <a16:creationId xmlns:a16="http://schemas.microsoft.com/office/drawing/2014/main" id="{E4B4C592-4F5D-1216-E479-AD2D330BA165}"/>
            </a:ext>
          </a:extLst>
        </xdr:cNvPr>
        <xdr:cNvSpPr/>
      </xdr:nvSpPr>
      <xdr:spPr>
        <a:xfrm>
          <a:off x="13145861" y="7543800"/>
          <a:ext cx="10332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48</xdr:row>
      <xdr:rowOff>76200</xdr:rowOff>
    </xdr:from>
    <xdr:to>
      <xdr:col>35</xdr:col>
      <xdr:colOff>20411</xdr:colOff>
      <xdr:row>48</xdr:row>
      <xdr:rowOff>76200</xdr:rowOff>
    </xdr:to>
    <xdr:cxnSp macro="">
      <xdr:nvCxnSpPr>
        <xdr:cNvPr id="66058" name="직선 화살표 연결선 66057">
          <a:extLst>
            <a:ext uri="{FF2B5EF4-FFF2-40B4-BE49-F238E27FC236}">
              <a16:creationId xmlns:a16="http://schemas.microsoft.com/office/drawing/2014/main" id="{E351E5F4-82A0-6166-17ED-CA23782DE7D0}"/>
            </a:ext>
          </a:extLst>
        </xdr:cNvPr>
        <xdr:cNvCxnSpPr/>
      </xdr:nvCxnSpPr>
      <xdr:spPr>
        <a:xfrm>
          <a:off x="13145861" y="7600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20411</xdr:colOff>
      <xdr:row>47</xdr:row>
      <xdr:rowOff>19050</xdr:rowOff>
    </xdr:from>
    <xdr:to>
      <xdr:col>37</xdr:col>
      <xdr:colOff>123734</xdr:colOff>
      <xdr:row>47</xdr:row>
      <xdr:rowOff>133350</xdr:rowOff>
    </xdr:to>
    <xdr:sp macro="" textlink="">
      <xdr:nvSpPr>
        <xdr:cNvPr id="66059" name="44">
          <a:extLst>
            <a:ext uri="{FF2B5EF4-FFF2-40B4-BE49-F238E27FC236}">
              <a16:creationId xmlns:a16="http://schemas.microsoft.com/office/drawing/2014/main" id="{6CC06238-FC69-989F-3D30-CA88BC4823B4}"/>
            </a:ext>
          </a:extLst>
        </xdr:cNvPr>
        <xdr:cNvSpPr/>
      </xdr:nvSpPr>
      <xdr:spPr>
        <a:xfrm>
          <a:off x="13431611" y="7391400"/>
          <a:ext cx="10332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20411</xdr:colOff>
      <xdr:row>47</xdr:row>
      <xdr:rowOff>76200</xdr:rowOff>
    </xdr:from>
    <xdr:to>
      <xdr:col>37</xdr:col>
      <xdr:colOff>20411</xdr:colOff>
      <xdr:row>47</xdr:row>
      <xdr:rowOff>76200</xdr:rowOff>
    </xdr:to>
    <xdr:cxnSp macro="">
      <xdr:nvCxnSpPr>
        <xdr:cNvPr id="66060" name="직선 화살표 연결선 66059">
          <a:extLst>
            <a:ext uri="{FF2B5EF4-FFF2-40B4-BE49-F238E27FC236}">
              <a16:creationId xmlns:a16="http://schemas.microsoft.com/office/drawing/2014/main" id="{DA3434E5-A2E1-1470-8CA2-4289C565E58F}"/>
            </a:ext>
          </a:extLst>
        </xdr:cNvPr>
        <xdr:cNvCxnSpPr/>
      </xdr:nvCxnSpPr>
      <xdr:spPr>
        <a:xfrm>
          <a:off x="13431611" y="7448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46</xdr:row>
      <xdr:rowOff>19050</xdr:rowOff>
    </xdr:from>
    <xdr:to>
      <xdr:col>37</xdr:col>
      <xdr:colOff>123734</xdr:colOff>
      <xdr:row>46</xdr:row>
      <xdr:rowOff>133350</xdr:rowOff>
    </xdr:to>
    <xdr:sp macro="" textlink="">
      <xdr:nvSpPr>
        <xdr:cNvPr id="66061" name="43">
          <a:extLst>
            <a:ext uri="{FF2B5EF4-FFF2-40B4-BE49-F238E27FC236}">
              <a16:creationId xmlns:a16="http://schemas.microsoft.com/office/drawing/2014/main" id="{D37DD43C-205D-F567-7ADC-A86004F79869}"/>
            </a:ext>
          </a:extLst>
        </xdr:cNvPr>
        <xdr:cNvSpPr/>
      </xdr:nvSpPr>
      <xdr:spPr>
        <a:xfrm>
          <a:off x="13145861" y="7239000"/>
          <a:ext cx="389073"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46</xdr:row>
      <xdr:rowOff>76200</xdr:rowOff>
    </xdr:from>
    <xdr:to>
      <xdr:col>35</xdr:col>
      <xdr:colOff>20411</xdr:colOff>
      <xdr:row>46</xdr:row>
      <xdr:rowOff>76200</xdr:rowOff>
    </xdr:to>
    <xdr:cxnSp macro="">
      <xdr:nvCxnSpPr>
        <xdr:cNvPr id="66062" name="직선 화살표 연결선 66061">
          <a:extLst>
            <a:ext uri="{FF2B5EF4-FFF2-40B4-BE49-F238E27FC236}">
              <a16:creationId xmlns:a16="http://schemas.microsoft.com/office/drawing/2014/main" id="{57F6BE89-78D1-95BD-AF50-509CC1DA37D7}"/>
            </a:ext>
          </a:extLst>
        </xdr:cNvPr>
        <xdr:cNvCxnSpPr/>
      </xdr:nvCxnSpPr>
      <xdr:spPr>
        <a:xfrm>
          <a:off x="13145861" y="7296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20411</xdr:colOff>
      <xdr:row>45</xdr:row>
      <xdr:rowOff>19050</xdr:rowOff>
    </xdr:from>
    <xdr:to>
      <xdr:col>37</xdr:col>
      <xdr:colOff>123734</xdr:colOff>
      <xdr:row>45</xdr:row>
      <xdr:rowOff>133350</xdr:rowOff>
    </xdr:to>
    <xdr:sp macro="" textlink="">
      <xdr:nvSpPr>
        <xdr:cNvPr id="66063" name="42">
          <a:extLst>
            <a:ext uri="{FF2B5EF4-FFF2-40B4-BE49-F238E27FC236}">
              <a16:creationId xmlns:a16="http://schemas.microsoft.com/office/drawing/2014/main" id="{482A29B5-FB70-7D91-F249-9E7492743E25}"/>
            </a:ext>
          </a:extLst>
        </xdr:cNvPr>
        <xdr:cNvSpPr/>
      </xdr:nvSpPr>
      <xdr:spPr>
        <a:xfrm>
          <a:off x="13431611" y="7086600"/>
          <a:ext cx="10332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20411</xdr:colOff>
      <xdr:row>45</xdr:row>
      <xdr:rowOff>76200</xdr:rowOff>
    </xdr:from>
    <xdr:to>
      <xdr:col>37</xdr:col>
      <xdr:colOff>20411</xdr:colOff>
      <xdr:row>45</xdr:row>
      <xdr:rowOff>76200</xdr:rowOff>
    </xdr:to>
    <xdr:cxnSp macro="">
      <xdr:nvCxnSpPr>
        <xdr:cNvPr id="66064" name="직선 화살표 연결선 66063">
          <a:extLst>
            <a:ext uri="{FF2B5EF4-FFF2-40B4-BE49-F238E27FC236}">
              <a16:creationId xmlns:a16="http://schemas.microsoft.com/office/drawing/2014/main" id="{BCBED3CB-8B03-6294-E395-EA4B4AC6E5C6}"/>
            </a:ext>
          </a:extLst>
        </xdr:cNvPr>
        <xdr:cNvCxnSpPr/>
      </xdr:nvCxnSpPr>
      <xdr:spPr>
        <a:xfrm>
          <a:off x="13431611" y="7143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20411</xdr:colOff>
      <xdr:row>44</xdr:row>
      <xdr:rowOff>19050</xdr:rowOff>
    </xdr:from>
    <xdr:to>
      <xdr:col>37</xdr:col>
      <xdr:colOff>123734</xdr:colOff>
      <xdr:row>44</xdr:row>
      <xdr:rowOff>133350</xdr:rowOff>
    </xdr:to>
    <xdr:sp macro="" textlink="">
      <xdr:nvSpPr>
        <xdr:cNvPr id="66065" name="41">
          <a:extLst>
            <a:ext uri="{FF2B5EF4-FFF2-40B4-BE49-F238E27FC236}">
              <a16:creationId xmlns:a16="http://schemas.microsoft.com/office/drawing/2014/main" id="{233EC837-5B93-874B-541C-3F1F99C3E465}"/>
            </a:ext>
          </a:extLst>
        </xdr:cNvPr>
        <xdr:cNvSpPr/>
      </xdr:nvSpPr>
      <xdr:spPr>
        <a:xfrm>
          <a:off x="13431611" y="6934200"/>
          <a:ext cx="103323"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20411</xdr:colOff>
      <xdr:row>44</xdr:row>
      <xdr:rowOff>76200</xdr:rowOff>
    </xdr:from>
    <xdr:to>
      <xdr:col>37</xdr:col>
      <xdr:colOff>20411</xdr:colOff>
      <xdr:row>44</xdr:row>
      <xdr:rowOff>76200</xdr:rowOff>
    </xdr:to>
    <xdr:cxnSp macro="">
      <xdr:nvCxnSpPr>
        <xdr:cNvPr id="66066" name="직선 화살표 연결선 66065">
          <a:extLst>
            <a:ext uri="{FF2B5EF4-FFF2-40B4-BE49-F238E27FC236}">
              <a16:creationId xmlns:a16="http://schemas.microsoft.com/office/drawing/2014/main" id="{99D42B96-5FF0-63AA-5FFB-3E270248AD66}"/>
            </a:ext>
          </a:extLst>
        </xdr:cNvPr>
        <xdr:cNvCxnSpPr/>
      </xdr:nvCxnSpPr>
      <xdr:spPr>
        <a:xfrm>
          <a:off x="13431611" y="6991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20411</xdr:colOff>
      <xdr:row>43</xdr:row>
      <xdr:rowOff>19050</xdr:rowOff>
    </xdr:from>
    <xdr:to>
      <xdr:col>39</xdr:col>
      <xdr:colOff>123734</xdr:colOff>
      <xdr:row>43</xdr:row>
      <xdr:rowOff>133350</xdr:rowOff>
    </xdr:to>
    <xdr:sp macro="" textlink="">
      <xdr:nvSpPr>
        <xdr:cNvPr id="66067" name="40">
          <a:extLst>
            <a:ext uri="{FF2B5EF4-FFF2-40B4-BE49-F238E27FC236}">
              <a16:creationId xmlns:a16="http://schemas.microsoft.com/office/drawing/2014/main" id="{97FE36FF-A88E-424A-07ED-C805C3293489}"/>
            </a:ext>
          </a:extLst>
        </xdr:cNvPr>
        <xdr:cNvSpPr/>
      </xdr:nvSpPr>
      <xdr:spPr>
        <a:xfrm>
          <a:off x="13717361" y="6781800"/>
          <a:ext cx="10332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20411</xdr:colOff>
      <xdr:row>43</xdr:row>
      <xdr:rowOff>76200</xdr:rowOff>
    </xdr:from>
    <xdr:to>
      <xdr:col>39</xdr:col>
      <xdr:colOff>20411</xdr:colOff>
      <xdr:row>43</xdr:row>
      <xdr:rowOff>76200</xdr:rowOff>
    </xdr:to>
    <xdr:cxnSp macro="">
      <xdr:nvCxnSpPr>
        <xdr:cNvPr id="66068" name="직선 화살표 연결선 66067">
          <a:extLst>
            <a:ext uri="{FF2B5EF4-FFF2-40B4-BE49-F238E27FC236}">
              <a16:creationId xmlns:a16="http://schemas.microsoft.com/office/drawing/2014/main" id="{B27CE124-6AFB-15C2-CEE3-03157E81FE8E}"/>
            </a:ext>
          </a:extLst>
        </xdr:cNvPr>
        <xdr:cNvCxnSpPr/>
      </xdr:nvCxnSpPr>
      <xdr:spPr>
        <a:xfrm>
          <a:off x="13717361" y="6838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20411</xdr:colOff>
      <xdr:row>42</xdr:row>
      <xdr:rowOff>19050</xdr:rowOff>
    </xdr:from>
    <xdr:to>
      <xdr:col>39</xdr:col>
      <xdr:colOff>123734</xdr:colOff>
      <xdr:row>42</xdr:row>
      <xdr:rowOff>133350</xdr:rowOff>
    </xdr:to>
    <xdr:sp macro="" textlink="">
      <xdr:nvSpPr>
        <xdr:cNvPr id="66069" name="39">
          <a:extLst>
            <a:ext uri="{FF2B5EF4-FFF2-40B4-BE49-F238E27FC236}">
              <a16:creationId xmlns:a16="http://schemas.microsoft.com/office/drawing/2014/main" id="{33BF7632-0CF3-BB45-E39B-5839063B4836}"/>
            </a:ext>
          </a:extLst>
        </xdr:cNvPr>
        <xdr:cNvSpPr/>
      </xdr:nvSpPr>
      <xdr:spPr>
        <a:xfrm>
          <a:off x="13717361" y="6629400"/>
          <a:ext cx="10332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20411</xdr:colOff>
      <xdr:row>42</xdr:row>
      <xdr:rowOff>76200</xdr:rowOff>
    </xdr:from>
    <xdr:to>
      <xdr:col>39</xdr:col>
      <xdr:colOff>20411</xdr:colOff>
      <xdr:row>42</xdr:row>
      <xdr:rowOff>76200</xdr:rowOff>
    </xdr:to>
    <xdr:cxnSp macro="">
      <xdr:nvCxnSpPr>
        <xdr:cNvPr id="66070" name="직선 화살표 연결선 66069">
          <a:extLst>
            <a:ext uri="{FF2B5EF4-FFF2-40B4-BE49-F238E27FC236}">
              <a16:creationId xmlns:a16="http://schemas.microsoft.com/office/drawing/2014/main" id="{A02E3CD1-4318-AAAE-EF70-1C3F47DA55ED}"/>
            </a:ext>
          </a:extLst>
        </xdr:cNvPr>
        <xdr:cNvCxnSpPr/>
      </xdr:nvCxnSpPr>
      <xdr:spPr>
        <a:xfrm>
          <a:off x="13717361" y="6686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20411</xdr:colOff>
      <xdr:row>41</xdr:row>
      <xdr:rowOff>19050</xdr:rowOff>
    </xdr:from>
    <xdr:to>
      <xdr:col>39</xdr:col>
      <xdr:colOff>123734</xdr:colOff>
      <xdr:row>41</xdr:row>
      <xdr:rowOff>133350</xdr:rowOff>
    </xdr:to>
    <xdr:sp macro="" textlink="">
      <xdr:nvSpPr>
        <xdr:cNvPr id="66071" name="38">
          <a:extLst>
            <a:ext uri="{FF2B5EF4-FFF2-40B4-BE49-F238E27FC236}">
              <a16:creationId xmlns:a16="http://schemas.microsoft.com/office/drawing/2014/main" id="{A0D51169-37C9-15DF-FC91-6B0E4C82115D}"/>
            </a:ext>
          </a:extLst>
        </xdr:cNvPr>
        <xdr:cNvSpPr/>
      </xdr:nvSpPr>
      <xdr:spPr>
        <a:xfrm>
          <a:off x="13717361" y="6477000"/>
          <a:ext cx="103323"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20411</xdr:colOff>
      <xdr:row>41</xdr:row>
      <xdr:rowOff>76200</xdr:rowOff>
    </xdr:from>
    <xdr:to>
      <xdr:col>39</xdr:col>
      <xdr:colOff>20411</xdr:colOff>
      <xdr:row>41</xdr:row>
      <xdr:rowOff>76200</xdr:rowOff>
    </xdr:to>
    <xdr:cxnSp macro="">
      <xdr:nvCxnSpPr>
        <xdr:cNvPr id="66072" name="직선 화살표 연결선 66071">
          <a:extLst>
            <a:ext uri="{FF2B5EF4-FFF2-40B4-BE49-F238E27FC236}">
              <a16:creationId xmlns:a16="http://schemas.microsoft.com/office/drawing/2014/main" id="{4CB699C5-9760-8C88-677D-0FA224A39EE5}"/>
            </a:ext>
          </a:extLst>
        </xdr:cNvPr>
        <xdr:cNvCxnSpPr/>
      </xdr:nvCxnSpPr>
      <xdr:spPr>
        <a:xfrm>
          <a:off x="13717361" y="6534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40</xdr:row>
      <xdr:rowOff>19050</xdr:rowOff>
    </xdr:from>
    <xdr:to>
      <xdr:col>41</xdr:col>
      <xdr:colOff>123734</xdr:colOff>
      <xdr:row>40</xdr:row>
      <xdr:rowOff>133350</xdr:rowOff>
    </xdr:to>
    <xdr:sp macro="" textlink="">
      <xdr:nvSpPr>
        <xdr:cNvPr id="66073" name="37">
          <a:extLst>
            <a:ext uri="{FF2B5EF4-FFF2-40B4-BE49-F238E27FC236}">
              <a16:creationId xmlns:a16="http://schemas.microsoft.com/office/drawing/2014/main" id="{2E9B64E2-7E96-D63E-0EE7-8378117A8144}"/>
            </a:ext>
          </a:extLst>
        </xdr:cNvPr>
        <xdr:cNvSpPr/>
      </xdr:nvSpPr>
      <xdr:spPr>
        <a:xfrm>
          <a:off x="13145861" y="6324600"/>
          <a:ext cx="960573"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40</xdr:row>
      <xdr:rowOff>76200</xdr:rowOff>
    </xdr:from>
    <xdr:to>
      <xdr:col>35</xdr:col>
      <xdr:colOff>20411</xdr:colOff>
      <xdr:row>40</xdr:row>
      <xdr:rowOff>76200</xdr:rowOff>
    </xdr:to>
    <xdr:cxnSp macro="">
      <xdr:nvCxnSpPr>
        <xdr:cNvPr id="66074" name="직선 화살표 연결선 66073">
          <a:extLst>
            <a:ext uri="{FF2B5EF4-FFF2-40B4-BE49-F238E27FC236}">
              <a16:creationId xmlns:a16="http://schemas.microsoft.com/office/drawing/2014/main" id="{3D556FC3-B722-3EBA-3C65-EA2A084A6AFF}"/>
            </a:ext>
          </a:extLst>
        </xdr:cNvPr>
        <xdr:cNvCxnSpPr/>
      </xdr:nvCxnSpPr>
      <xdr:spPr>
        <a:xfrm>
          <a:off x="13145861" y="6381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20410</xdr:colOff>
      <xdr:row>38</xdr:row>
      <xdr:rowOff>19050</xdr:rowOff>
    </xdr:from>
    <xdr:to>
      <xdr:col>39</xdr:col>
      <xdr:colOff>123734</xdr:colOff>
      <xdr:row>38</xdr:row>
      <xdr:rowOff>133350</xdr:rowOff>
    </xdr:to>
    <xdr:sp macro="" textlink="">
      <xdr:nvSpPr>
        <xdr:cNvPr id="66075" name="35">
          <a:extLst>
            <a:ext uri="{FF2B5EF4-FFF2-40B4-BE49-F238E27FC236}">
              <a16:creationId xmlns:a16="http://schemas.microsoft.com/office/drawing/2014/main" id="{0549F950-8FCB-75CB-8019-B55ECB05C2F1}"/>
            </a:ext>
          </a:extLst>
        </xdr:cNvPr>
        <xdr:cNvSpPr/>
      </xdr:nvSpPr>
      <xdr:spPr>
        <a:xfrm>
          <a:off x="13002985" y="6019800"/>
          <a:ext cx="817699"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20410</xdr:colOff>
      <xdr:row>38</xdr:row>
      <xdr:rowOff>76200</xdr:rowOff>
    </xdr:from>
    <xdr:to>
      <xdr:col>34</xdr:col>
      <xdr:colOff>20410</xdr:colOff>
      <xdr:row>38</xdr:row>
      <xdr:rowOff>76200</xdr:rowOff>
    </xdr:to>
    <xdr:cxnSp macro="">
      <xdr:nvCxnSpPr>
        <xdr:cNvPr id="66076" name="직선 화살표 연결선 66075">
          <a:extLst>
            <a:ext uri="{FF2B5EF4-FFF2-40B4-BE49-F238E27FC236}">
              <a16:creationId xmlns:a16="http://schemas.microsoft.com/office/drawing/2014/main" id="{7EFF6BC8-90C6-E063-E044-1A0FF2AB4B88}"/>
            </a:ext>
          </a:extLst>
        </xdr:cNvPr>
        <xdr:cNvCxnSpPr/>
      </xdr:nvCxnSpPr>
      <xdr:spPr>
        <a:xfrm>
          <a:off x="13002985" y="6076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20410</xdr:colOff>
      <xdr:row>37</xdr:row>
      <xdr:rowOff>19050</xdr:rowOff>
    </xdr:from>
    <xdr:to>
      <xdr:col>39</xdr:col>
      <xdr:colOff>123734</xdr:colOff>
      <xdr:row>37</xdr:row>
      <xdr:rowOff>133350</xdr:rowOff>
    </xdr:to>
    <xdr:sp macro="" textlink="">
      <xdr:nvSpPr>
        <xdr:cNvPr id="66077" name="34">
          <a:extLst>
            <a:ext uri="{FF2B5EF4-FFF2-40B4-BE49-F238E27FC236}">
              <a16:creationId xmlns:a16="http://schemas.microsoft.com/office/drawing/2014/main" id="{9E38E95F-122F-DAE8-C061-420A2F39B7DF}"/>
            </a:ext>
          </a:extLst>
        </xdr:cNvPr>
        <xdr:cNvSpPr/>
      </xdr:nvSpPr>
      <xdr:spPr>
        <a:xfrm>
          <a:off x="13002985" y="5867400"/>
          <a:ext cx="817699"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20410</xdr:colOff>
      <xdr:row>37</xdr:row>
      <xdr:rowOff>76200</xdr:rowOff>
    </xdr:from>
    <xdr:to>
      <xdr:col>34</xdr:col>
      <xdr:colOff>20410</xdr:colOff>
      <xdr:row>37</xdr:row>
      <xdr:rowOff>76200</xdr:rowOff>
    </xdr:to>
    <xdr:cxnSp macro="">
      <xdr:nvCxnSpPr>
        <xdr:cNvPr id="66078" name="직선 화살표 연결선 66077">
          <a:extLst>
            <a:ext uri="{FF2B5EF4-FFF2-40B4-BE49-F238E27FC236}">
              <a16:creationId xmlns:a16="http://schemas.microsoft.com/office/drawing/2014/main" id="{6167CCE9-063D-D04F-F3DF-B5105A83E06C}"/>
            </a:ext>
          </a:extLst>
        </xdr:cNvPr>
        <xdr:cNvCxnSpPr/>
      </xdr:nvCxnSpPr>
      <xdr:spPr>
        <a:xfrm>
          <a:off x="13002985" y="5924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20410</xdr:colOff>
      <xdr:row>36</xdr:row>
      <xdr:rowOff>19050</xdr:rowOff>
    </xdr:from>
    <xdr:to>
      <xdr:col>39</xdr:col>
      <xdr:colOff>123734</xdr:colOff>
      <xdr:row>36</xdr:row>
      <xdr:rowOff>133350</xdr:rowOff>
    </xdr:to>
    <xdr:sp macro="" textlink="">
      <xdr:nvSpPr>
        <xdr:cNvPr id="66079" name="33">
          <a:extLst>
            <a:ext uri="{FF2B5EF4-FFF2-40B4-BE49-F238E27FC236}">
              <a16:creationId xmlns:a16="http://schemas.microsoft.com/office/drawing/2014/main" id="{6CBE2454-1D72-AB07-C5CF-C32A123C3294}"/>
            </a:ext>
          </a:extLst>
        </xdr:cNvPr>
        <xdr:cNvSpPr/>
      </xdr:nvSpPr>
      <xdr:spPr>
        <a:xfrm>
          <a:off x="13002985" y="5715000"/>
          <a:ext cx="817699"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20410</xdr:colOff>
      <xdr:row>36</xdr:row>
      <xdr:rowOff>76200</xdr:rowOff>
    </xdr:from>
    <xdr:to>
      <xdr:col>34</xdr:col>
      <xdr:colOff>102053</xdr:colOff>
      <xdr:row>36</xdr:row>
      <xdr:rowOff>76200</xdr:rowOff>
    </xdr:to>
    <xdr:cxnSp macro="">
      <xdr:nvCxnSpPr>
        <xdr:cNvPr id="66080" name="직선 화살표 연결선 66079">
          <a:extLst>
            <a:ext uri="{FF2B5EF4-FFF2-40B4-BE49-F238E27FC236}">
              <a16:creationId xmlns:a16="http://schemas.microsoft.com/office/drawing/2014/main" id="{1C4AC676-C812-38EE-BB22-835623F8622B}"/>
            </a:ext>
          </a:extLst>
        </xdr:cNvPr>
        <xdr:cNvCxnSpPr/>
      </xdr:nvCxnSpPr>
      <xdr:spPr>
        <a:xfrm>
          <a:off x="13002985" y="5772150"/>
          <a:ext cx="8164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20410</xdr:colOff>
      <xdr:row>35</xdr:row>
      <xdr:rowOff>19050</xdr:rowOff>
    </xdr:from>
    <xdr:to>
      <xdr:col>39</xdr:col>
      <xdr:colOff>123734</xdr:colOff>
      <xdr:row>35</xdr:row>
      <xdr:rowOff>133350</xdr:rowOff>
    </xdr:to>
    <xdr:sp macro="" textlink="">
      <xdr:nvSpPr>
        <xdr:cNvPr id="66081" name="32">
          <a:extLst>
            <a:ext uri="{FF2B5EF4-FFF2-40B4-BE49-F238E27FC236}">
              <a16:creationId xmlns:a16="http://schemas.microsoft.com/office/drawing/2014/main" id="{B45420AB-9318-0542-3E03-42C3F6F500DD}"/>
            </a:ext>
          </a:extLst>
        </xdr:cNvPr>
        <xdr:cNvSpPr/>
      </xdr:nvSpPr>
      <xdr:spPr>
        <a:xfrm>
          <a:off x="13002985" y="5562600"/>
          <a:ext cx="817699"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20410</xdr:colOff>
      <xdr:row>35</xdr:row>
      <xdr:rowOff>76200</xdr:rowOff>
    </xdr:from>
    <xdr:to>
      <xdr:col>34</xdr:col>
      <xdr:colOff>47625</xdr:colOff>
      <xdr:row>35</xdr:row>
      <xdr:rowOff>76200</xdr:rowOff>
    </xdr:to>
    <xdr:cxnSp macro="">
      <xdr:nvCxnSpPr>
        <xdr:cNvPr id="66082" name="직선 화살표 연결선 66081">
          <a:extLst>
            <a:ext uri="{FF2B5EF4-FFF2-40B4-BE49-F238E27FC236}">
              <a16:creationId xmlns:a16="http://schemas.microsoft.com/office/drawing/2014/main" id="{04BCDCF1-36E2-0FA6-78B7-AF05E913C7D9}"/>
            </a:ext>
          </a:extLst>
        </xdr:cNvPr>
        <xdr:cNvCxnSpPr/>
      </xdr:nvCxnSpPr>
      <xdr:spPr>
        <a:xfrm>
          <a:off x="13002985" y="5619750"/>
          <a:ext cx="2721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102054</xdr:colOff>
      <xdr:row>34</xdr:row>
      <xdr:rowOff>19050</xdr:rowOff>
    </xdr:from>
    <xdr:to>
      <xdr:col>39</xdr:col>
      <xdr:colOff>123734</xdr:colOff>
      <xdr:row>34</xdr:row>
      <xdr:rowOff>133350</xdr:rowOff>
    </xdr:to>
    <xdr:sp macro="" textlink="">
      <xdr:nvSpPr>
        <xdr:cNvPr id="66083" name="31">
          <a:extLst>
            <a:ext uri="{FF2B5EF4-FFF2-40B4-BE49-F238E27FC236}">
              <a16:creationId xmlns:a16="http://schemas.microsoft.com/office/drawing/2014/main" id="{4E6ACC32-74E7-03B2-150E-08F2DA2FFD19}"/>
            </a:ext>
          </a:extLst>
        </xdr:cNvPr>
        <xdr:cNvSpPr/>
      </xdr:nvSpPr>
      <xdr:spPr>
        <a:xfrm>
          <a:off x="13656129" y="5410200"/>
          <a:ext cx="164555"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102054</xdr:colOff>
      <xdr:row>34</xdr:row>
      <xdr:rowOff>76200</xdr:rowOff>
    </xdr:from>
    <xdr:to>
      <xdr:col>38</xdr:col>
      <xdr:colOff>102054</xdr:colOff>
      <xdr:row>34</xdr:row>
      <xdr:rowOff>76200</xdr:rowOff>
    </xdr:to>
    <xdr:cxnSp macro="">
      <xdr:nvCxnSpPr>
        <xdr:cNvPr id="66084" name="직선 화살표 연결선 66083">
          <a:extLst>
            <a:ext uri="{FF2B5EF4-FFF2-40B4-BE49-F238E27FC236}">
              <a16:creationId xmlns:a16="http://schemas.microsoft.com/office/drawing/2014/main" id="{E38775D5-3E21-FE0A-1E2D-54E57E3C1D9E}"/>
            </a:ext>
          </a:extLst>
        </xdr:cNvPr>
        <xdr:cNvCxnSpPr/>
      </xdr:nvCxnSpPr>
      <xdr:spPr>
        <a:xfrm>
          <a:off x="13656129" y="5467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20411</xdr:colOff>
      <xdr:row>33</xdr:row>
      <xdr:rowOff>19050</xdr:rowOff>
    </xdr:from>
    <xdr:to>
      <xdr:col>38</xdr:col>
      <xdr:colOff>123734</xdr:colOff>
      <xdr:row>33</xdr:row>
      <xdr:rowOff>133350</xdr:rowOff>
    </xdr:to>
    <xdr:sp macro="" textlink="">
      <xdr:nvSpPr>
        <xdr:cNvPr id="66085" name="30">
          <a:extLst>
            <a:ext uri="{FF2B5EF4-FFF2-40B4-BE49-F238E27FC236}">
              <a16:creationId xmlns:a16="http://schemas.microsoft.com/office/drawing/2014/main" id="{A01AB9E0-A4BE-AFBB-9406-0C81D0F3ECD4}"/>
            </a:ext>
          </a:extLst>
        </xdr:cNvPr>
        <xdr:cNvSpPr/>
      </xdr:nvSpPr>
      <xdr:spPr>
        <a:xfrm>
          <a:off x="13574486" y="5257800"/>
          <a:ext cx="10332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20411</xdr:colOff>
      <xdr:row>33</xdr:row>
      <xdr:rowOff>76200</xdr:rowOff>
    </xdr:from>
    <xdr:to>
      <xdr:col>38</xdr:col>
      <xdr:colOff>20411</xdr:colOff>
      <xdr:row>33</xdr:row>
      <xdr:rowOff>76200</xdr:rowOff>
    </xdr:to>
    <xdr:cxnSp macro="">
      <xdr:nvCxnSpPr>
        <xdr:cNvPr id="66086" name="직선 화살표 연결선 66085">
          <a:extLst>
            <a:ext uri="{FF2B5EF4-FFF2-40B4-BE49-F238E27FC236}">
              <a16:creationId xmlns:a16="http://schemas.microsoft.com/office/drawing/2014/main" id="{73ED4C95-6BCA-26A6-6BE4-C4327539DE1D}"/>
            </a:ext>
          </a:extLst>
        </xdr:cNvPr>
        <xdr:cNvCxnSpPr/>
      </xdr:nvCxnSpPr>
      <xdr:spPr>
        <a:xfrm>
          <a:off x="13574486" y="5314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20411</xdr:colOff>
      <xdr:row>32</xdr:row>
      <xdr:rowOff>19050</xdr:rowOff>
    </xdr:from>
    <xdr:to>
      <xdr:col>39</xdr:col>
      <xdr:colOff>123734</xdr:colOff>
      <xdr:row>32</xdr:row>
      <xdr:rowOff>133350</xdr:rowOff>
    </xdr:to>
    <xdr:sp macro="" textlink="">
      <xdr:nvSpPr>
        <xdr:cNvPr id="66087" name="29">
          <a:extLst>
            <a:ext uri="{FF2B5EF4-FFF2-40B4-BE49-F238E27FC236}">
              <a16:creationId xmlns:a16="http://schemas.microsoft.com/office/drawing/2014/main" id="{68E1B270-0FAF-5616-3922-5A82917213E9}"/>
            </a:ext>
          </a:extLst>
        </xdr:cNvPr>
        <xdr:cNvSpPr/>
      </xdr:nvSpPr>
      <xdr:spPr>
        <a:xfrm>
          <a:off x="13574486" y="5105400"/>
          <a:ext cx="246198"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20411</xdr:colOff>
      <xdr:row>32</xdr:row>
      <xdr:rowOff>76200</xdr:rowOff>
    </xdr:from>
    <xdr:to>
      <xdr:col>38</xdr:col>
      <xdr:colOff>20411</xdr:colOff>
      <xdr:row>32</xdr:row>
      <xdr:rowOff>76200</xdr:rowOff>
    </xdr:to>
    <xdr:cxnSp macro="">
      <xdr:nvCxnSpPr>
        <xdr:cNvPr id="66088" name="직선 화살표 연결선 66087">
          <a:extLst>
            <a:ext uri="{FF2B5EF4-FFF2-40B4-BE49-F238E27FC236}">
              <a16:creationId xmlns:a16="http://schemas.microsoft.com/office/drawing/2014/main" id="{424C7448-5FEA-6E36-CD8F-BF7786CB66E3}"/>
            </a:ext>
          </a:extLst>
        </xdr:cNvPr>
        <xdr:cNvCxnSpPr/>
      </xdr:nvCxnSpPr>
      <xdr:spPr>
        <a:xfrm>
          <a:off x="13574486" y="5162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20411</xdr:colOff>
      <xdr:row>31</xdr:row>
      <xdr:rowOff>19050</xdr:rowOff>
    </xdr:from>
    <xdr:to>
      <xdr:col>37</xdr:col>
      <xdr:colOff>123734</xdr:colOff>
      <xdr:row>31</xdr:row>
      <xdr:rowOff>133350</xdr:rowOff>
    </xdr:to>
    <xdr:sp macro="" textlink="">
      <xdr:nvSpPr>
        <xdr:cNvPr id="66089" name="28">
          <a:extLst>
            <a:ext uri="{FF2B5EF4-FFF2-40B4-BE49-F238E27FC236}">
              <a16:creationId xmlns:a16="http://schemas.microsoft.com/office/drawing/2014/main" id="{50D94A19-D4C7-2164-E3C7-2D417527249D}"/>
            </a:ext>
          </a:extLst>
        </xdr:cNvPr>
        <xdr:cNvSpPr/>
      </xdr:nvSpPr>
      <xdr:spPr>
        <a:xfrm>
          <a:off x="13431611" y="4953000"/>
          <a:ext cx="10332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20411</xdr:colOff>
      <xdr:row>31</xdr:row>
      <xdr:rowOff>76200</xdr:rowOff>
    </xdr:from>
    <xdr:to>
      <xdr:col>37</xdr:col>
      <xdr:colOff>20411</xdr:colOff>
      <xdr:row>31</xdr:row>
      <xdr:rowOff>76200</xdr:rowOff>
    </xdr:to>
    <xdr:cxnSp macro="">
      <xdr:nvCxnSpPr>
        <xdr:cNvPr id="66090" name="직선 화살표 연결선 66089">
          <a:extLst>
            <a:ext uri="{FF2B5EF4-FFF2-40B4-BE49-F238E27FC236}">
              <a16:creationId xmlns:a16="http://schemas.microsoft.com/office/drawing/2014/main" id="{827291DD-13BC-9AB4-BCB1-7680EC208446}"/>
            </a:ext>
          </a:extLst>
        </xdr:cNvPr>
        <xdr:cNvCxnSpPr/>
      </xdr:nvCxnSpPr>
      <xdr:spPr>
        <a:xfrm>
          <a:off x="13431611" y="5010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20411</xdr:colOff>
      <xdr:row>30</xdr:row>
      <xdr:rowOff>19050</xdr:rowOff>
    </xdr:from>
    <xdr:to>
      <xdr:col>37</xdr:col>
      <xdr:colOff>123734</xdr:colOff>
      <xdr:row>30</xdr:row>
      <xdr:rowOff>133350</xdr:rowOff>
    </xdr:to>
    <xdr:sp macro="" textlink="">
      <xdr:nvSpPr>
        <xdr:cNvPr id="66091" name="27">
          <a:extLst>
            <a:ext uri="{FF2B5EF4-FFF2-40B4-BE49-F238E27FC236}">
              <a16:creationId xmlns:a16="http://schemas.microsoft.com/office/drawing/2014/main" id="{99F81FBF-7E96-C946-D5F0-29F294CE3058}"/>
            </a:ext>
          </a:extLst>
        </xdr:cNvPr>
        <xdr:cNvSpPr/>
      </xdr:nvSpPr>
      <xdr:spPr>
        <a:xfrm>
          <a:off x="13431611" y="4800600"/>
          <a:ext cx="10332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20411</xdr:colOff>
      <xdr:row>30</xdr:row>
      <xdr:rowOff>76200</xdr:rowOff>
    </xdr:from>
    <xdr:to>
      <xdr:col>37</xdr:col>
      <xdr:colOff>20411</xdr:colOff>
      <xdr:row>30</xdr:row>
      <xdr:rowOff>76200</xdr:rowOff>
    </xdr:to>
    <xdr:cxnSp macro="">
      <xdr:nvCxnSpPr>
        <xdr:cNvPr id="66092" name="직선 화살표 연결선 66091">
          <a:extLst>
            <a:ext uri="{FF2B5EF4-FFF2-40B4-BE49-F238E27FC236}">
              <a16:creationId xmlns:a16="http://schemas.microsoft.com/office/drawing/2014/main" id="{65CBC11E-902B-7680-D951-8B62598657EC}"/>
            </a:ext>
          </a:extLst>
        </xdr:cNvPr>
        <xdr:cNvCxnSpPr/>
      </xdr:nvCxnSpPr>
      <xdr:spPr>
        <a:xfrm>
          <a:off x="13431611" y="4857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20411</xdr:colOff>
      <xdr:row>29</xdr:row>
      <xdr:rowOff>19050</xdr:rowOff>
    </xdr:from>
    <xdr:to>
      <xdr:col>37</xdr:col>
      <xdr:colOff>123734</xdr:colOff>
      <xdr:row>29</xdr:row>
      <xdr:rowOff>133350</xdr:rowOff>
    </xdr:to>
    <xdr:sp macro="" textlink="">
      <xdr:nvSpPr>
        <xdr:cNvPr id="66093" name="26">
          <a:extLst>
            <a:ext uri="{FF2B5EF4-FFF2-40B4-BE49-F238E27FC236}">
              <a16:creationId xmlns:a16="http://schemas.microsoft.com/office/drawing/2014/main" id="{6F96A721-B212-581E-C24F-419774BF02CF}"/>
            </a:ext>
          </a:extLst>
        </xdr:cNvPr>
        <xdr:cNvSpPr/>
      </xdr:nvSpPr>
      <xdr:spPr>
        <a:xfrm>
          <a:off x="13431611" y="4648200"/>
          <a:ext cx="10332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20411</xdr:colOff>
      <xdr:row>29</xdr:row>
      <xdr:rowOff>76200</xdr:rowOff>
    </xdr:from>
    <xdr:to>
      <xdr:col>37</xdr:col>
      <xdr:colOff>20411</xdr:colOff>
      <xdr:row>29</xdr:row>
      <xdr:rowOff>76200</xdr:rowOff>
    </xdr:to>
    <xdr:cxnSp macro="">
      <xdr:nvCxnSpPr>
        <xdr:cNvPr id="66094" name="직선 화살표 연결선 66093">
          <a:extLst>
            <a:ext uri="{FF2B5EF4-FFF2-40B4-BE49-F238E27FC236}">
              <a16:creationId xmlns:a16="http://schemas.microsoft.com/office/drawing/2014/main" id="{AD3BFADF-B36B-DFE0-3EEC-AFCC3B5087F5}"/>
            </a:ext>
          </a:extLst>
        </xdr:cNvPr>
        <xdr:cNvCxnSpPr/>
      </xdr:nvCxnSpPr>
      <xdr:spPr>
        <a:xfrm>
          <a:off x="13431611" y="4705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20411</xdr:colOff>
      <xdr:row>28</xdr:row>
      <xdr:rowOff>19050</xdr:rowOff>
    </xdr:from>
    <xdr:to>
      <xdr:col>37</xdr:col>
      <xdr:colOff>123734</xdr:colOff>
      <xdr:row>28</xdr:row>
      <xdr:rowOff>133350</xdr:rowOff>
    </xdr:to>
    <xdr:sp macro="" textlink="">
      <xdr:nvSpPr>
        <xdr:cNvPr id="66095" name="25">
          <a:extLst>
            <a:ext uri="{FF2B5EF4-FFF2-40B4-BE49-F238E27FC236}">
              <a16:creationId xmlns:a16="http://schemas.microsoft.com/office/drawing/2014/main" id="{CAC53CB1-959D-EE90-2372-CD6952E90AB5}"/>
            </a:ext>
          </a:extLst>
        </xdr:cNvPr>
        <xdr:cNvSpPr/>
      </xdr:nvSpPr>
      <xdr:spPr>
        <a:xfrm>
          <a:off x="13431611" y="4495800"/>
          <a:ext cx="10332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20411</xdr:colOff>
      <xdr:row>28</xdr:row>
      <xdr:rowOff>76200</xdr:rowOff>
    </xdr:from>
    <xdr:to>
      <xdr:col>37</xdr:col>
      <xdr:colOff>20411</xdr:colOff>
      <xdr:row>28</xdr:row>
      <xdr:rowOff>76200</xdr:rowOff>
    </xdr:to>
    <xdr:cxnSp macro="">
      <xdr:nvCxnSpPr>
        <xdr:cNvPr id="66096" name="직선 화살표 연결선 66095">
          <a:extLst>
            <a:ext uri="{FF2B5EF4-FFF2-40B4-BE49-F238E27FC236}">
              <a16:creationId xmlns:a16="http://schemas.microsoft.com/office/drawing/2014/main" id="{A428CB6B-B797-84AA-A1B4-27D58467FACA}"/>
            </a:ext>
          </a:extLst>
        </xdr:cNvPr>
        <xdr:cNvCxnSpPr/>
      </xdr:nvCxnSpPr>
      <xdr:spPr>
        <a:xfrm>
          <a:off x="13431611" y="4552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20411</xdr:colOff>
      <xdr:row>27</xdr:row>
      <xdr:rowOff>19050</xdr:rowOff>
    </xdr:from>
    <xdr:to>
      <xdr:col>37</xdr:col>
      <xdr:colOff>123734</xdr:colOff>
      <xdr:row>27</xdr:row>
      <xdr:rowOff>133350</xdr:rowOff>
    </xdr:to>
    <xdr:sp macro="" textlink="">
      <xdr:nvSpPr>
        <xdr:cNvPr id="66097" name="24">
          <a:extLst>
            <a:ext uri="{FF2B5EF4-FFF2-40B4-BE49-F238E27FC236}">
              <a16:creationId xmlns:a16="http://schemas.microsoft.com/office/drawing/2014/main" id="{849AB479-568C-D989-4EC2-D286CD88F509}"/>
            </a:ext>
          </a:extLst>
        </xdr:cNvPr>
        <xdr:cNvSpPr/>
      </xdr:nvSpPr>
      <xdr:spPr>
        <a:xfrm>
          <a:off x="13431611" y="4343400"/>
          <a:ext cx="10332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20411</xdr:colOff>
      <xdr:row>27</xdr:row>
      <xdr:rowOff>76200</xdr:rowOff>
    </xdr:from>
    <xdr:to>
      <xdr:col>37</xdr:col>
      <xdr:colOff>20411</xdr:colOff>
      <xdr:row>27</xdr:row>
      <xdr:rowOff>76200</xdr:rowOff>
    </xdr:to>
    <xdr:cxnSp macro="">
      <xdr:nvCxnSpPr>
        <xdr:cNvPr id="66098" name="직선 화살표 연결선 66097">
          <a:extLst>
            <a:ext uri="{FF2B5EF4-FFF2-40B4-BE49-F238E27FC236}">
              <a16:creationId xmlns:a16="http://schemas.microsoft.com/office/drawing/2014/main" id="{3FC6B0D7-60AC-FC32-2339-F74BC2D6EC04}"/>
            </a:ext>
          </a:extLst>
        </xdr:cNvPr>
        <xdr:cNvCxnSpPr/>
      </xdr:nvCxnSpPr>
      <xdr:spPr>
        <a:xfrm>
          <a:off x="13431611" y="4400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20411</xdr:colOff>
      <xdr:row>26</xdr:row>
      <xdr:rowOff>19050</xdr:rowOff>
    </xdr:from>
    <xdr:to>
      <xdr:col>37</xdr:col>
      <xdr:colOff>123734</xdr:colOff>
      <xdr:row>26</xdr:row>
      <xdr:rowOff>133350</xdr:rowOff>
    </xdr:to>
    <xdr:sp macro="" textlink="">
      <xdr:nvSpPr>
        <xdr:cNvPr id="66099" name="23">
          <a:extLst>
            <a:ext uri="{FF2B5EF4-FFF2-40B4-BE49-F238E27FC236}">
              <a16:creationId xmlns:a16="http://schemas.microsoft.com/office/drawing/2014/main" id="{D845CF95-99A7-C078-27F1-A75E4EBB64C0}"/>
            </a:ext>
          </a:extLst>
        </xdr:cNvPr>
        <xdr:cNvSpPr/>
      </xdr:nvSpPr>
      <xdr:spPr>
        <a:xfrm>
          <a:off x="13431611" y="4191000"/>
          <a:ext cx="103323"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20411</xdr:colOff>
      <xdr:row>26</xdr:row>
      <xdr:rowOff>76200</xdr:rowOff>
    </xdr:from>
    <xdr:to>
      <xdr:col>37</xdr:col>
      <xdr:colOff>20411</xdr:colOff>
      <xdr:row>26</xdr:row>
      <xdr:rowOff>76200</xdr:rowOff>
    </xdr:to>
    <xdr:cxnSp macro="">
      <xdr:nvCxnSpPr>
        <xdr:cNvPr id="66100" name="직선 화살표 연결선 66099">
          <a:extLst>
            <a:ext uri="{FF2B5EF4-FFF2-40B4-BE49-F238E27FC236}">
              <a16:creationId xmlns:a16="http://schemas.microsoft.com/office/drawing/2014/main" id="{A08FF486-CCC0-6E39-D154-E3534DCFEEC4}"/>
            </a:ext>
          </a:extLst>
        </xdr:cNvPr>
        <xdr:cNvCxnSpPr/>
      </xdr:nvCxnSpPr>
      <xdr:spPr>
        <a:xfrm>
          <a:off x="13431611" y="4248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81643</xdr:colOff>
      <xdr:row>25</xdr:row>
      <xdr:rowOff>19050</xdr:rowOff>
    </xdr:from>
    <xdr:to>
      <xdr:col>36</xdr:col>
      <xdr:colOff>103324</xdr:colOff>
      <xdr:row>25</xdr:row>
      <xdr:rowOff>133350</xdr:rowOff>
    </xdr:to>
    <xdr:sp macro="" textlink="">
      <xdr:nvSpPr>
        <xdr:cNvPr id="66101" name="22">
          <a:extLst>
            <a:ext uri="{FF2B5EF4-FFF2-40B4-BE49-F238E27FC236}">
              <a16:creationId xmlns:a16="http://schemas.microsoft.com/office/drawing/2014/main" id="{4657796F-773A-E904-0CE9-581F71C096DA}"/>
            </a:ext>
          </a:extLst>
        </xdr:cNvPr>
        <xdr:cNvSpPr/>
      </xdr:nvSpPr>
      <xdr:spPr>
        <a:xfrm>
          <a:off x="13207093" y="4038600"/>
          <a:ext cx="16455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81643</xdr:colOff>
      <xdr:row>25</xdr:row>
      <xdr:rowOff>76200</xdr:rowOff>
    </xdr:from>
    <xdr:to>
      <xdr:col>35</xdr:col>
      <xdr:colOff>81643</xdr:colOff>
      <xdr:row>25</xdr:row>
      <xdr:rowOff>76200</xdr:rowOff>
    </xdr:to>
    <xdr:cxnSp macro="">
      <xdr:nvCxnSpPr>
        <xdr:cNvPr id="66102" name="직선 화살표 연결선 66101">
          <a:extLst>
            <a:ext uri="{FF2B5EF4-FFF2-40B4-BE49-F238E27FC236}">
              <a16:creationId xmlns:a16="http://schemas.microsoft.com/office/drawing/2014/main" id="{63787A29-668D-465E-5360-4F70FDE22886}"/>
            </a:ext>
          </a:extLst>
        </xdr:cNvPr>
        <xdr:cNvCxnSpPr/>
      </xdr:nvCxnSpPr>
      <xdr:spPr>
        <a:xfrm>
          <a:off x="13207093" y="4095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81643</xdr:colOff>
      <xdr:row>24</xdr:row>
      <xdr:rowOff>19050</xdr:rowOff>
    </xdr:from>
    <xdr:to>
      <xdr:col>36</xdr:col>
      <xdr:colOff>103324</xdr:colOff>
      <xdr:row>24</xdr:row>
      <xdr:rowOff>133350</xdr:rowOff>
    </xdr:to>
    <xdr:sp macro="" textlink="">
      <xdr:nvSpPr>
        <xdr:cNvPr id="66103" name="21">
          <a:extLst>
            <a:ext uri="{FF2B5EF4-FFF2-40B4-BE49-F238E27FC236}">
              <a16:creationId xmlns:a16="http://schemas.microsoft.com/office/drawing/2014/main" id="{0499FA5F-FC9F-7471-8B46-CA0D6A693281}"/>
            </a:ext>
          </a:extLst>
        </xdr:cNvPr>
        <xdr:cNvSpPr/>
      </xdr:nvSpPr>
      <xdr:spPr>
        <a:xfrm>
          <a:off x="13207093" y="3886200"/>
          <a:ext cx="16455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81643</xdr:colOff>
      <xdr:row>24</xdr:row>
      <xdr:rowOff>76200</xdr:rowOff>
    </xdr:from>
    <xdr:to>
      <xdr:col>35</xdr:col>
      <xdr:colOff>81643</xdr:colOff>
      <xdr:row>24</xdr:row>
      <xdr:rowOff>76200</xdr:rowOff>
    </xdr:to>
    <xdr:cxnSp macro="">
      <xdr:nvCxnSpPr>
        <xdr:cNvPr id="66104" name="직선 화살표 연결선 66103">
          <a:extLst>
            <a:ext uri="{FF2B5EF4-FFF2-40B4-BE49-F238E27FC236}">
              <a16:creationId xmlns:a16="http://schemas.microsoft.com/office/drawing/2014/main" id="{CAB9D290-3ADC-1FD6-37E6-3F7575E1625E}"/>
            </a:ext>
          </a:extLst>
        </xdr:cNvPr>
        <xdr:cNvCxnSpPr/>
      </xdr:nvCxnSpPr>
      <xdr:spPr>
        <a:xfrm>
          <a:off x="13207093" y="3943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81643</xdr:colOff>
      <xdr:row>23</xdr:row>
      <xdr:rowOff>19050</xdr:rowOff>
    </xdr:from>
    <xdr:to>
      <xdr:col>36</xdr:col>
      <xdr:colOff>103324</xdr:colOff>
      <xdr:row>23</xdr:row>
      <xdr:rowOff>133350</xdr:rowOff>
    </xdr:to>
    <xdr:sp macro="" textlink="">
      <xdr:nvSpPr>
        <xdr:cNvPr id="66105" name="20">
          <a:extLst>
            <a:ext uri="{FF2B5EF4-FFF2-40B4-BE49-F238E27FC236}">
              <a16:creationId xmlns:a16="http://schemas.microsoft.com/office/drawing/2014/main" id="{25DFBC75-B50B-E2AA-B0AF-D648E0A41DD1}"/>
            </a:ext>
          </a:extLst>
        </xdr:cNvPr>
        <xdr:cNvSpPr/>
      </xdr:nvSpPr>
      <xdr:spPr>
        <a:xfrm>
          <a:off x="13207093" y="3733800"/>
          <a:ext cx="16455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81643</xdr:colOff>
      <xdr:row>23</xdr:row>
      <xdr:rowOff>76200</xdr:rowOff>
    </xdr:from>
    <xdr:to>
      <xdr:col>35</xdr:col>
      <xdr:colOff>81643</xdr:colOff>
      <xdr:row>23</xdr:row>
      <xdr:rowOff>76200</xdr:rowOff>
    </xdr:to>
    <xdr:cxnSp macro="">
      <xdr:nvCxnSpPr>
        <xdr:cNvPr id="66106" name="직선 화살표 연결선 66105">
          <a:extLst>
            <a:ext uri="{FF2B5EF4-FFF2-40B4-BE49-F238E27FC236}">
              <a16:creationId xmlns:a16="http://schemas.microsoft.com/office/drawing/2014/main" id="{186723B0-EBE0-65A7-5A61-5FAFF0C09CD2}"/>
            </a:ext>
          </a:extLst>
        </xdr:cNvPr>
        <xdr:cNvCxnSpPr/>
      </xdr:nvCxnSpPr>
      <xdr:spPr>
        <a:xfrm>
          <a:off x="13207093" y="3790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81643</xdr:colOff>
      <xdr:row>22</xdr:row>
      <xdr:rowOff>19050</xdr:rowOff>
    </xdr:from>
    <xdr:to>
      <xdr:col>36</xdr:col>
      <xdr:colOff>103324</xdr:colOff>
      <xdr:row>22</xdr:row>
      <xdr:rowOff>133350</xdr:rowOff>
    </xdr:to>
    <xdr:sp macro="" textlink="">
      <xdr:nvSpPr>
        <xdr:cNvPr id="66107" name="19">
          <a:extLst>
            <a:ext uri="{FF2B5EF4-FFF2-40B4-BE49-F238E27FC236}">
              <a16:creationId xmlns:a16="http://schemas.microsoft.com/office/drawing/2014/main" id="{39D4F833-53FD-6049-7F84-0DE819346CB8}"/>
            </a:ext>
          </a:extLst>
        </xdr:cNvPr>
        <xdr:cNvSpPr/>
      </xdr:nvSpPr>
      <xdr:spPr>
        <a:xfrm>
          <a:off x="13207093" y="3581400"/>
          <a:ext cx="16455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81643</xdr:colOff>
      <xdr:row>22</xdr:row>
      <xdr:rowOff>76200</xdr:rowOff>
    </xdr:from>
    <xdr:to>
      <xdr:col>35</xdr:col>
      <xdr:colOff>81643</xdr:colOff>
      <xdr:row>22</xdr:row>
      <xdr:rowOff>76200</xdr:rowOff>
    </xdr:to>
    <xdr:cxnSp macro="">
      <xdr:nvCxnSpPr>
        <xdr:cNvPr id="66108" name="직선 화살표 연결선 66107">
          <a:extLst>
            <a:ext uri="{FF2B5EF4-FFF2-40B4-BE49-F238E27FC236}">
              <a16:creationId xmlns:a16="http://schemas.microsoft.com/office/drawing/2014/main" id="{6B489D6A-8EF1-F919-CBDF-F5CD3F81C370}"/>
            </a:ext>
          </a:extLst>
        </xdr:cNvPr>
        <xdr:cNvCxnSpPr/>
      </xdr:nvCxnSpPr>
      <xdr:spPr>
        <a:xfrm>
          <a:off x="13207093" y="3638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81643</xdr:colOff>
      <xdr:row>21</xdr:row>
      <xdr:rowOff>19050</xdr:rowOff>
    </xdr:from>
    <xdr:to>
      <xdr:col>36</xdr:col>
      <xdr:colOff>103324</xdr:colOff>
      <xdr:row>21</xdr:row>
      <xdr:rowOff>133350</xdr:rowOff>
    </xdr:to>
    <xdr:sp macro="" textlink="">
      <xdr:nvSpPr>
        <xdr:cNvPr id="66109" name="18">
          <a:extLst>
            <a:ext uri="{FF2B5EF4-FFF2-40B4-BE49-F238E27FC236}">
              <a16:creationId xmlns:a16="http://schemas.microsoft.com/office/drawing/2014/main" id="{486F9804-3499-300C-7DC3-7893B62E315D}"/>
            </a:ext>
          </a:extLst>
        </xdr:cNvPr>
        <xdr:cNvSpPr/>
      </xdr:nvSpPr>
      <xdr:spPr>
        <a:xfrm>
          <a:off x="13207093" y="3429000"/>
          <a:ext cx="164556"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81643</xdr:colOff>
      <xdr:row>21</xdr:row>
      <xdr:rowOff>76200</xdr:rowOff>
    </xdr:from>
    <xdr:to>
      <xdr:col>35</xdr:col>
      <xdr:colOff>81643</xdr:colOff>
      <xdr:row>21</xdr:row>
      <xdr:rowOff>76200</xdr:rowOff>
    </xdr:to>
    <xdr:cxnSp macro="">
      <xdr:nvCxnSpPr>
        <xdr:cNvPr id="66110" name="직선 화살표 연결선 66109">
          <a:extLst>
            <a:ext uri="{FF2B5EF4-FFF2-40B4-BE49-F238E27FC236}">
              <a16:creationId xmlns:a16="http://schemas.microsoft.com/office/drawing/2014/main" id="{D25C89CA-A7C9-B8E3-CFFC-A80C1C177134}"/>
            </a:ext>
          </a:extLst>
        </xdr:cNvPr>
        <xdr:cNvCxnSpPr/>
      </xdr:nvCxnSpPr>
      <xdr:spPr>
        <a:xfrm>
          <a:off x="13207093" y="3486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81643</xdr:colOff>
      <xdr:row>20</xdr:row>
      <xdr:rowOff>19050</xdr:rowOff>
    </xdr:from>
    <xdr:to>
      <xdr:col>36</xdr:col>
      <xdr:colOff>103324</xdr:colOff>
      <xdr:row>20</xdr:row>
      <xdr:rowOff>133350</xdr:rowOff>
    </xdr:to>
    <xdr:sp macro="" textlink="">
      <xdr:nvSpPr>
        <xdr:cNvPr id="66111" name="17">
          <a:extLst>
            <a:ext uri="{FF2B5EF4-FFF2-40B4-BE49-F238E27FC236}">
              <a16:creationId xmlns:a16="http://schemas.microsoft.com/office/drawing/2014/main" id="{B3BF7FD0-C070-8616-6970-A8F6F5192FC8}"/>
            </a:ext>
          </a:extLst>
        </xdr:cNvPr>
        <xdr:cNvSpPr/>
      </xdr:nvSpPr>
      <xdr:spPr>
        <a:xfrm>
          <a:off x="13207093" y="3276600"/>
          <a:ext cx="16455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81643</xdr:colOff>
      <xdr:row>20</xdr:row>
      <xdr:rowOff>76200</xdr:rowOff>
    </xdr:from>
    <xdr:to>
      <xdr:col>35</xdr:col>
      <xdr:colOff>81643</xdr:colOff>
      <xdr:row>20</xdr:row>
      <xdr:rowOff>76200</xdr:rowOff>
    </xdr:to>
    <xdr:cxnSp macro="">
      <xdr:nvCxnSpPr>
        <xdr:cNvPr id="66112" name="직선 화살표 연결선 66111">
          <a:extLst>
            <a:ext uri="{FF2B5EF4-FFF2-40B4-BE49-F238E27FC236}">
              <a16:creationId xmlns:a16="http://schemas.microsoft.com/office/drawing/2014/main" id="{32612E19-F140-7A9D-4123-3EF8EF11588F}"/>
            </a:ext>
          </a:extLst>
        </xdr:cNvPr>
        <xdr:cNvCxnSpPr/>
      </xdr:nvCxnSpPr>
      <xdr:spPr>
        <a:xfrm>
          <a:off x="13207093" y="3333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102053</xdr:colOff>
      <xdr:row>19</xdr:row>
      <xdr:rowOff>19050</xdr:rowOff>
    </xdr:from>
    <xdr:to>
      <xdr:col>35</xdr:col>
      <xdr:colOff>42090</xdr:colOff>
      <xdr:row>19</xdr:row>
      <xdr:rowOff>133350</xdr:rowOff>
    </xdr:to>
    <xdr:sp macro="" textlink="">
      <xdr:nvSpPr>
        <xdr:cNvPr id="66113" name="16">
          <a:extLst>
            <a:ext uri="{FF2B5EF4-FFF2-40B4-BE49-F238E27FC236}">
              <a16:creationId xmlns:a16="http://schemas.microsoft.com/office/drawing/2014/main" id="{EFC4A3BE-EB03-4A86-F4BD-CE895A4BD4C1}"/>
            </a:ext>
          </a:extLst>
        </xdr:cNvPr>
        <xdr:cNvSpPr/>
      </xdr:nvSpPr>
      <xdr:spPr>
        <a:xfrm>
          <a:off x="12941753" y="3124200"/>
          <a:ext cx="225787"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102053</xdr:colOff>
      <xdr:row>19</xdr:row>
      <xdr:rowOff>76200</xdr:rowOff>
    </xdr:from>
    <xdr:to>
      <xdr:col>35</xdr:col>
      <xdr:colOff>40821</xdr:colOff>
      <xdr:row>19</xdr:row>
      <xdr:rowOff>76200</xdr:rowOff>
    </xdr:to>
    <xdr:cxnSp macro="">
      <xdr:nvCxnSpPr>
        <xdr:cNvPr id="66114" name="직선 화살표 연결선 66113">
          <a:extLst>
            <a:ext uri="{FF2B5EF4-FFF2-40B4-BE49-F238E27FC236}">
              <a16:creationId xmlns:a16="http://schemas.microsoft.com/office/drawing/2014/main" id="{D20AF1B0-0FC9-C752-B319-34120D134A97}"/>
            </a:ext>
          </a:extLst>
        </xdr:cNvPr>
        <xdr:cNvCxnSpPr/>
      </xdr:nvCxnSpPr>
      <xdr:spPr>
        <a:xfrm>
          <a:off x="12941753" y="3181350"/>
          <a:ext cx="22451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102053</xdr:colOff>
      <xdr:row>18</xdr:row>
      <xdr:rowOff>19050</xdr:rowOff>
    </xdr:from>
    <xdr:to>
      <xdr:col>35</xdr:col>
      <xdr:colOff>42090</xdr:colOff>
      <xdr:row>18</xdr:row>
      <xdr:rowOff>133350</xdr:rowOff>
    </xdr:to>
    <xdr:sp macro="" textlink="">
      <xdr:nvSpPr>
        <xdr:cNvPr id="66115" name="15">
          <a:extLst>
            <a:ext uri="{FF2B5EF4-FFF2-40B4-BE49-F238E27FC236}">
              <a16:creationId xmlns:a16="http://schemas.microsoft.com/office/drawing/2014/main" id="{CEC9156A-5E0A-D7A8-B98E-3C23EEC36B2A}"/>
            </a:ext>
          </a:extLst>
        </xdr:cNvPr>
        <xdr:cNvSpPr/>
      </xdr:nvSpPr>
      <xdr:spPr>
        <a:xfrm>
          <a:off x="12941753" y="2971800"/>
          <a:ext cx="225787"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102053</xdr:colOff>
      <xdr:row>18</xdr:row>
      <xdr:rowOff>76200</xdr:rowOff>
    </xdr:from>
    <xdr:to>
      <xdr:col>35</xdr:col>
      <xdr:colOff>40821</xdr:colOff>
      <xdr:row>18</xdr:row>
      <xdr:rowOff>76200</xdr:rowOff>
    </xdr:to>
    <xdr:cxnSp macro="">
      <xdr:nvCxnSpPr>
        <xdr:cNvPr id="66116" name="직선 화살표 연결선 66115">
          <a:extLst>
            <a:ext uri="{FF2B5EF4-FFF2-40B4-BE49-F238E27FC236}">
              <a16:creationId xmlns:a16="http://schemas.microsoft.com/office/drawing/2014/main" id="{28812AE3-8CA2-B7E6-FEFF-1706FFB59B97}"/>
            </a:ext>
          </a:extLst>
        </xdr:cNvPr>
        <xdr:cNvCxnSpPr/>
      </xdr:nvCxnSpPr>
      <xdr:spPr>
        <a:xfrm>
          <a:off x="12941753" y="3028950"/>
          <a:ext cx="22451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102053</xdr:colOff>
      <xdr:row>17</xdr:row>
      <xdr:rowOff>19050</xdr:rowOff>
    </xdr:from>
    <xdr:to>
      <xdr:col>35</xdr:col>
      <xdr:colOff>42090</xdr:colOff>
      <xdr:row>17</xdr:row>
      <xdr:rowOff>133350</xdr:rowOff>
    </xdr:to>
    <xdr:sp macro="" textlink="">
      <xdr:nvSpPr>
        <xdr:cNvPr id="66117" name="14">
          <a:extLst>
            <a:ext uri="{FF2B5EF4-FFF2-40B4-BE49-F238E27FC236}">
              <a16:creationId xmlns:a16="http://schemas.microsoft.com/office/drawing/2014/main" id="{13DE080E-1AFF-C66A-7943-CE7A52E462D0}"/>
            </a:ext>
          </a:extLst>
        </xdr:cNvPr>
        <xdr:cNvSpPr/>
      </xdr:nvSpPr>
      <xdr:spPr>
        <a:xfrm>
          <a:off x="12941753" y="2819400"/>
          <a:ext cx="225787"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102053</xdr:colOff>
      <xdr:row>17</xdr:row>
      <xdr:rowOff>76200</xdr:rowOff>
    </xdr:from>
    <xdr:to>
      <xdr:col>35</xdr:col>
      <xdr:colOff>40821</xdr:colOff>
      <xdr:row>17</xdr:row>
      <xdr:rowOff>76200</xdr:rowOff>
    </xdr:to>
    <xdr:cxnSp macro="">
      <xdr:nvCxnSpPr>
        <xdr:cNvPr id="66118" name="직선 화살표 연결선 66117">
          <a:extLst>
            <a:ext uri="{FF2B5EF4-FFF2-40B4-BE49-F238E27FC236}">
              <a16:creationId xmlns:a16="http://schemas.microsoft.com/office/drawing/2014/main" id="{3DF40C7B-8E1F-0EB2-95BF-1AC2445E8236}"/>
            </a:ext>
          </a:extLst>
        </xdr:cNvPr>
        <xdr:cNvCxnSpPr/>
      </xdr:nvCxnSpPr>
      <xdr:spPr>
        <a:xfrm>
          <a:off x="12941753" y="2876550"/>
          <a:ext cx="22451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81643</xdr:colOff>
      <xdr:row>16</xdr:row>
      <xdr:rowOff>19050</xdr:rowOff>
    </xdr:from>
    <xdr:to>
      <xdr:col>36</xdr:col>
      <xdr:colOff>103324</xdr:colOff>
      <xdr:row>16</xdr:row>
      <xdr:rowOff>133350</xdr:rowOff>
    </xdr:to>
    <xdr:sp macro="" textlink="">
      <xdr:nvSpPr>
        <xdr:cNvPr id="66119" name="13">
          <a:extLst>
            <a:ext uri="{FF2B5EF4-FFF2-40B4-BE49-F238E27FC236}">
              <a16:creationId xmlns:a16="http://schemas.microsoft.com/office/drawing/2014/main" id="{B8DC4C4C-4D8A-9D67-A60B-0B4017D913E2}"/>
            </a:ext>
          </a:extLst>
        </xdr:cNvPr>
        <xdr:cNvSpPr/>
      </xdr:nvSpPr>
      <xdr:spPr>
        <a:xfrm>
          <a:off x="13207093" y="2667000"/>
          <a:ext cx="16455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81643</xdr:colOff>
      <xdr:row>16</xdr:row>
      <xdr:rowOff>76200</xdr:rowOff>
    </xdr:from>
    <xdr:to>
      <xdr:col>35</xdr:col>
      <xdr:colOff>81643</xdr:colOff>
      <xdr:row>16</xdr:row>
      <xdr:rowOff>76200</xdr:rowOff>
    </xdr:to>
    <xdr:cxnSp macro="">
      <xdr:nvCxnSpPr>
        <xdr:cNvPr id="66120" name="직선 화살표 연결선 66119">
          <a:extLst>
            <a:ext uri="{FF2B5EF4-FFF2-40B4-BE49-F238E27FC236}">
              <a16:creationId xmlns:a16="http://schemas.microsoft.com/office/drawing/2014/main" id="{08C54F74-A1D9-6CE9-5D10-7D788288AA21}"/>
            </a:ext>
          </a:extLst>
        </xdr:cNvPr>
        <xdr:cNvCxnSpPr/>
      </xdr:nvCxnSpPr>
      <xdr:spPr>
        <a:xfrm>
          <a:off x="13207093" y="2724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102053</xdr:colOff>
      <xdr:row>15</xdr:row>
      <xdr:rowOff>19050</xdr:rowOff>
    </xdr:from>
    <xdr:to>
      <xdr:col>36</xdr:col>
      <xdr:colOff>103324</xdr:colOff>
      <xdr:row>15</xdr:row>
      <xdr:rowOff>133350</xdr:rowOff>
    </xdr:to>
    <xdr:sp macro="" textlink="">
      <xdr:nvSpPr>
        <xdr:cNvPr id="66121" name="12">
          <a:extLst>
            <a:ext uri="{FF2B5EF4-FFF2-40B4-BE49-F238E27FC236}">
              <a16:creationId xmlns:a16="http://schemas.microsoft.com/office/drawing/2014/main" id="{DBD52B04-D14B-B496-3419-A50B790F1AC9}"/>
            </a:ext>
          </a:extLst>
        </xdr:cNvPr>
        <xdr:cNvSpPr/>
      </xdr:nvSpPr>
      <xdr:spPr>
        <a:xfrm>
          <a:off x="12941753" y="2514600"/>
          <a:ext cx="429896"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102053</xdr:colOff>
      <xdr:row>15</xdr:row>
      <xdr:rowOff>76200</xdr:rowOff>
    </xdr:from>
    <xdr:to>
      <xdr:col>35</xdr:col>
      <xdr:colOff>89066</xdr:colOff>
      <xdr:row>15</xdr:row>
      <xdr:rowOff>76200</xdr:rowOff>
    </xdr:to>
    <xdr:cxnSp macro="">
      <xdr:nvCxnSpPr>
        <xdr:cNvPr id="66122" name="직선 화살표 연결선 66121">
          <a:extLst>
            <a:ext uri="{FF2B5EF4-FFF2-40B4-BE49-F238E27FC236}">
              <a16:creationId xmlns:a16="http://schemas.microsoft.com/office/drawing/2014/main" id="{08B0EC50-6973-C3B4-52A9-C5E6A21088DA}"/>
            </a:ext>
          </a:extLst>
        </xdr:cNvPr>
        <xdr:cNvCxnSpPr/>
      </xdr:nvCxnSpPr>
      <xdr:spPr>
        <a:xfrm>
          <a:off x="12941753" y="2571750"/>
          <a:ext cx="2727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14</xdr:row>
      <xdr:rowOff>19050</xdr:rowOff>
    </xdr:from>
    <xdr:to>
      <xdr:col>35</xdr:col>
      <xdr:colOff>82913</xdr:colOff>
      <xdr:row>14</xdr:row>
      <xdr:rowOff>133350</xdr:rowOff>
    </xdr:to>
    <xdr:sp macro="" textlink="">
      <xdr:nvSpPr>
        <xdr:cNvPr id="66123" name="11">
          <a:extLst>
            <a:ext uri="{FF2B5EF4-FFF2-40B4-BE49-F238E27FC236}">
              <a16:creationId xmlns:a16="http://schemas.microsoft.com/office/drawing/2014/main" id="{9B6D24B0-77DF-81F2-BC73-DA46AD5ACF43}"/>
            </a:ext>
          </a:extLst>
        </xdr:cNvPr>
        <xdr:cNvSpPr/>
      </xdr:nvSpPr>
      <xdr:spPr>
        <a:xfrm>
          <a:off x="12574360" y="2362200"/>
          <a:ext cx="63400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14</xdr:row>
      <xdr:rowOff>76200</xdr:rowOff>
    </xdr:from>
    <xdr:to>
      <xdr:col>35</xdr:col>
      <xdr:colOff>81643</xdr:colOff>
      <xdr:row>14</xdr:row>
      <xdr:rowOff>76200</xdr:rowOff>
    </xdr:to>
    <xdr:cxnSp macro="">
      <xdr:nvCxnSpPr>
        <xdr:cNvPr id="66124" name="직선 화살표 연결선 66123">
          <a:extLst>
            <a:ext uri="{FF2B5EF4-FFF2-40B4-BE49-F238E27FC236}">
              <a16:creationId xmlns:a16="http://schemas.microsoft.com/office/drawing/2014/main" id="{44413EAE-5615-146F-A2CE-050E1CDD3120}"/>
            </a:ext>
          </a:extLst>
        </xdr:cNvPr>
        <xdr:cNvCxnSpPr/>
      </xdr:nvCxnSpPr>
      <xdr:spPr>
        <a:xfrm>
          <a:off x="12574360" y="2419350"/>
          <a:ext cx="63273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102054</xdr:colOff>
      <xdr:row>13</xdr:row>
      <xdr:rowOff>19050</xdr:rowOff>
    </xdr:from>
    <xdr:to>
      <xdr:col>36</xdr:col>
      <xdr:colOff>103324</xdr:colOff>
      <xdr:row>13</xdr:row>
      <xdr:rowOff>133350</xdr:rowOff>
    </xdr:to>
    <xdr:sp macro="" textlink="">
      <xdr:nvSpPr>
        <xdr:cNvPr id="66125" name="10">
          <a:extLst>
            <a:ext uri="{FF2B5EF4-FFF2-40B4-BE49-F238E27FC236}">
              <a16:creationId xmlns:a16="http://schemas.microsoft.com/office/drawing/2014/main" id="{810A1AB2-4C17-63B4-290C-8C6AE38B31A1}"/>
            </a:ext>
          </a:extLst>
        </xdr:cNvPr>
        <xdr:cNvSpPr/>
      </xdr:nvSpPr>
      <xdr:spPr>
        <a:xfrm>
          <a:off x="13084629" y="2209800"/>
          <a:ext cx="2870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102054</xdr:colOff>
      <xdr:row>13</xdr:row>
      <xdr:rowOff>76200</xdr:rowOff>
    </xdr:from>
    <xdr:to>
      <xdr:col>35</xdr:col>
      <xdr:colOff>102054</xdr:colOff>
      <xdr:row>13</xdr:row>
      <xdr:rowOff>76200</xdr:rowOff>
    </xdr:to>
    <xdr:cxnSp macro="">
      <xdr:nvCxnSpPr>
        <xdr:cNvPr id="66126" name="직선 화살표 연결선 66125">
          <a:extLst>
            <a:ext uri="{FF2B5EF4-FFF2-40B4-BE49-F238E27FC236}">
              <a16:creationId xmlns:a16="http://schemas.microsoft.com/office/drawing/2014/main" id="{ED4BA339-5500-0810-DEB3-DAF6C5DE3691}"/>
            </a:ext>
          </a:extLst>
        </xdr:cNvPr>
        <xdr:cNvCxnSpPr/>
      </xdr:nvCxnSpPr>
      <xdr:spPr>
        <a:xfrm>
          <a:off x="13084629" y="2266950"/>
          <a:ext cx="14287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102054</xdr:colOff>
      <xdr:row>12</xdr:row>
      <xdr:rowOff>19050</xdr:rowOff>
    </xdr:from>
    <xdr:to>
      <xdr:col>38</xdr:col>
      <xdr:colOff>123734</xdr:colOff>
      <xdr:row>12</xdr:row>
      <xdr:rowOff>133350</xdr:rowOff>
    </xdr:to>
    <xdr:sp macro="" textlink="">
      <xdr:nvSpPr>
        <xdr:cNvPr id="66127" name="9">
          <a:extLst>
            <a:ext uri="{FF2B5EF4-FFF2-40B4-BE49-F238E27FC236}">
              <a16:creationId xmlns:a16="http://schemas.microsoft.com/office/drawing/2014/main" id="{5749D26B-ED5F-088F-A25C-B9B84615F9CC}"/>
            </a:ext>
          </a:extLst>
        </xdr:cNvPr>
        <xdr:cNvSpPr/>
      </xdr:nvSpPr>
      <xdr:spPr>
        <a:xfrm>
          <a:off x="13370379" y="2057400"/>
          <a:ext cx="30743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102054</xdr:colOff>
      <xdr:row>12</xdr:row>
      <xdr:rowOff>76200</xdr:rowOff>
    </xdr:from>
    <xdr:to>
      <xdr:col>36</xdr:col>
      <xdr:colOff>102054</xdr:colOff>
      <xdr:row>12</xdr:row>
      <xdr:rowOff>76200</xdr:rowOff>
    </xdr:to>
    <xdr:cxnSp macro="">
      <xdr:nvCxnSpPr>
        <xdr:cNvPr id="66128" name="직선 화살표 연결선 66127">
          <a:extLst>
            <a:ext uri="{FF2B5EF4-FFF2-40B4-BE49-F238E27FC236}">
              <a16:creationId xmlns:a16="http://schemas.microsoft.com/office/drawing/2014/main" id="{44E23E5D-2EDC-BD83-FBB3-2ED56EE5E437}"/>
            </a:ext>
          </a:extLst>
        </xdr:cNvPr>
        <xdr:cNvCxnSpPr/>
      </xdr:nvCxnSpPr>
      <xdr:spPr>
        <a:xfrm>
          <a:off x="13370379" y="2114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102054</xdr:colOff>
      <xdr:row>11</xdr:row>
      <xdr:rowOff>19050</xdr:rowOff>
    </xdr:from>
    <xdr:to>
      <xdr:col>38</xdr:col>
      <xdr:colOff>123734</xdr:colOff>
      <xdr:row>11</xdr:row>
      <xdr:rowOff>133350</xdr:rowOff>
    </xdr:to>
    <xdr:sp macro="" textlink="">
      <xdr:nvSpPr>
        <xdr:cNvPr id="66129" name="8">
          <a:extLst>
            <a:ext uri="{FF2B5EF4-FFF2-40B4-BE49-F238E27FC236}">
              <a16:creationId xmlns:a16="http://schemas.microsoft.com/office/drawing/2014/main" id="{54B91DB7-7406-FB22-E6A7-69170CCE314E}"/>
            </a:ext>
          </a:extLst>
        </xdr:cNvPr>
        <xdr:cNvSpPr/>
      </xdr:nvSpPr>
      <xdr:spPr>
        <a:xfrm>
          <a:off x="13370379" y="1905000"/>
          <a:ext cx="30743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102054</xdr:colOff>
      <xdr:row>11</xdr:row>
      <xdr:rowOff>76200</xdr:rowOff>
    </xdr:from>
    <xdr:to>
      <xdr:col>36</xdr:col>
      <xdr:colOff>102054</xdr:colOff>
      <xdr:row>11</xdr:row>
      <xdr:rowOff>76200</xdr:rowOff>
    </xdr:to>
    <xdr:cxnSp macro="">
      <xdr:nvCxnSpPr>
        <xdr:cNvPr id="66130" name="직선 화살표 연결선 66129">
          <a:extLst>
            <a:ext uri="{FF2B5EF4-FFF2-40B4-BE49-F238E27FC236}">
              <a16:creationId xmlns:a16="http://schemas.microsoft.com/office/drawing/2014/main" id="{D0EB6450-FED8-DB2B-E0DE-A230EC94D161}"/>
            </a:ext>
          </a:extLst>
        </xdr:cNvPr>
        <xdr:cNvCxnSpPr/>
      </xdr:nvCxnSpPr>
      <xdr:spPr>
        <a:xfrm>
          <a:off x="13370379" y="1962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102054</xdr:colOff>
      <xdr:row>10</xdr:row>
      <xdr:rowOff>19050</xdr:rowOff>
    </xdr:from>
    <xdr:to>
      <xdr:col>36</xdr:col>
      <xdr:colOff>103324</xdr:colOff>
      <xdr:row>10</xdr:row>
      <xdr:rowOff>133350</xdr:rowOff>
    </xdr:to>
    <xdr:sp macro="" textlink="">
      <xdr:nvSpPr>
        <xdr:cNvPr id="66131" name="7">
          <a:extLst>
            <a:ext uri="{FF2B5EF4-FFF2-40B4-BE49-F238E27FC236}">
              <a16:creationId xmlns:a16="http://schemas.microsoft.com/office/drawing/2014/main" id="{80546F1E-716A-64C1-A24B-B7FC7A561250}"/>
            </a:ext>
          </a:extLst>
        </xdr:cNvPr>
        <xdr:cNvSpPr/>
      </xdr:nvSpPr>
      <xdr:spPr>
        <a:xfrm>
          <a:off x="13084629" y="1752600"/>
          <a:ext cx="28702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102054</xdr:colOff>
      <xdr:row>10</xdr:row>
      <xdr:rowOff>76200</xdr:rowOff>
    </xdr:from>
    <xdr:to>
      <xdr:col>35</xdr:col>
      <xdr:colOff>102054</xdr:colOff>
      <xdr:row>10</xdr:row>
      <xdr:rowOff>76200</xdr:rowOff>
    </xdr:to>
    <xdr:cxnSp macro="">
      <xdr:nvCxnSpPr>
        <xdr:cNvPr id="66132" name="직선 화살표 연결선 66131">
          <a:extLst>
            <a:ext uri="{FF2B5EF4-FFF2-40B4-BE49-F238E27FC236}">
              <a16:creationId xmlns:a16="http://schemas.microsoft.com/office/drawing/2014/main" id="{2513D555-8EA9-0C61-8D08-884A59ACD895}"/>
            </a:ext>
          </a:extLst>
        </xdr:cNvPr>
        <xdr:cNvCxnSpPr/>
      </xdr:nvCxnSpPr>
      <xdr:spPr>
        <a:xfrm>
          <a:off x="13084629" y="1809750"/>
          <a:ext cx="14287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9</xdr:row>
      <xdr:rowOff>19050</xdr:rowOff>
    </xdr:from>
    <xdr:to>
      <xdr:col>35</xdr:col>
      <xdr:colOff>82913</xdr:colOff>
      <xdr:row>9</xdr:row>
      <xdr:rowOff>133350</xdr:rowOff>
    </xdr:to>
    <xdr:sp macro="" textlink="">
      <xdr:nvSpPr>
        <xdr:cNvPr id="66133" name="6">
          <a:extLst>
            <a:ext uri="{FF2B5EF4-FFF2-40B4-BE49-F238E27FC236}">
              <a16:creationId xmlns:a16="http://schemas.microsoft.com/office/drawing/2014/main" id="{9541EBC7-84A0-98D3-1ED4-9D952B0A7076}"/>
            </a:ext>
          </a:extLst>
        </xdr:cNvPr>
        <xdr:cNvSpPr/>
      </xdr:nvSpPr>
      <xdr:spPr>
        <a:xfrm>
          <a:off x="12574360" y="1600200"/>
          <a:ext cx="63400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9</xdr:row>
      <xdr:rowOff>76200</xdr:rowOff>
    </xdr:from>
    <xdr:to>
      <xdr:col>35</xdr:col>
      <xdr:colOff>81643</xdr:colOff>
      <xdr:row>9</xdr:row>
      <xdr:rowOff>76200</xdr:rowOff>
    </xdr:to>
    <xdr:cxnSp macro="">
      <xdr:nvCxnSpPr>
        <xdr:cNvPr id="66134" name="직선 화살표 연결선 66133">
          <a:extLst>
            <a:ext uri="{FF2B5EF4-FFF2-40B4-BE49-F238E27FC236}">
              <a16:creationId xmlns:a16="http://schemas.microsoft.com/office/drawing/2014/main" id="{FBBF8E70-0162-2FE5-E43C-632DE805F6CF}"/>
            </a:ext>
          </a:extLst>
        </xdr:cNvPr>
        <xdr:cNvCxnSpPr/>
      </xdr:nvCxnSpPr>
      <xdr:spPr>
        <a:xfrm>
          <a:off x="12574360" y="1657350"/>
          <a:ext cx="63273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8</xdr:row>
      <xdr:rowOff>19050</xdr:rowOff>
    </xdr:from>
    <xdr:to>
      <xdr:col>38</xdr:col>
      <xdr:colOff>123734</xdr:colOff>
      <xdr:row>8</xdr:row>
      <xdr:rowOff>133350</xdr:rowOff>
    </xdr:to>
    <xdr:sp macro="" textlink="">
      <xdr:nvSpPr>
        <xdr:cNvPr id="66135" name="5">
          <a:extLst>
            <a:ext uri="{FF2B5EF4-FFF2-40B4-BE49-F238E27FC236}">
              <a16:creationId xmlns:a16="http://schemas.microsoft.com/office/drawing/2014/main" id="{76EC0CDB-5FDE-BA8A-94D4-14CA79E2088D}"/>
            </a:ext>
          </a:extLst>
        </xdr:cNvPr>
        <xdr:cNvSpPr/>
      </xdr:nvSpPr>
      <xdr:spPr>
        <a:xfrm>
          <a:off x="12574360" y="1447800"/>
          <a:ext cx="1103449"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8</xdr:row>
      <xdr:rowOff>76200</xdr:rowOff>
    </xdr:from>
    <xdr:to>
      <xdr:col>35</xdr:col>
      <xdr:colOff>90047</xdr:colOff>
      <xdr:row>8</xdr:row>
      <xdr:rowOff>76200</xdr:rowOff>
    </xdr:to>
    <xdr:cxnSp macro="">
      <xdr:nvCxnSpPr>
        <xdr:cNvPr id="66136" name="직선 화살표 연결선 66135">
          <a:extLst>
            <a:ext uri="{FF2B5EF4-FFF2-40B4-BE49-F238E27FC236}">
              <a16:creationId xmlns:a16="http://schemas.microsoft.com/office/drawing/2014/main" id="{077FFE4B-619D-DFAC-B2F2-CEFA42D75F56}"/>
            </a:ext>
          </a:extLst>
        </xdr:cNvPr>
        <xdr:cNvCxnSpPr/>
      </xdr:nvCxnSpPr>
      <xdr:spPr>
        <a:xfrm>
          <a:off x="12574360" y="1504950"/>
          <a:ext cx="64113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20411</xdr:colOff>
      <xdr:row>7</xdr:row>
      <xdr:rowOff>19050</xdr:rowOff>
    </xdr:from>
    <xdr:to>
      <xdr:col>38</xdr:col>
      <xdr:colOff>123734</xdr:colOff>
      <xdr:row>7</xdr:row>
      <xdr:rowOff>133350</xdr:rowOff>
    </xdr:to>
    <xdr:sp macro="" textlink="">
      <xdr:nvSpPr>
        <xdr:cNvPr id="66137" name="4">
          <a:extLst>
            <a:ext uri="{FF2B5EF4-FFF2-40B4-BE49-F238E27FC236}">
              <a16:creationId xmlns:a16="http://schemas.microsoft.com/office/drawing/2014/main" id="{9526EA7E-038E-4175-8653-8CD47A4B9299}"/>
            </a:ext>
          </a:extLst>
        </xdr:cNvPr>
        <xdr:cNvSpPr/>
      </xdr:nvSpPr>
      <xdr:spPr>
        <a:xfrm>
          <a:off x="13574486" y="1295400"/>
          <a:ext cx="10332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20411</xdr:colOff>
      <xdr:row>7</xdr:row>
      <xdr:rowOff>76200</xdr:rowOff>
    </xdr:from>
    <xdr:to>
      <xdr:col>38</xdr:col>
      <xdr:colOff>20411</xdr:colOff>
      <xdr:row>7</xdr:row>
      <xdr:rowOff>76200</xdr:rowOff>
    </xdr:to>
    <xdr:cxnSp macro="">
      <xdr:nvCxnSpPr>
        <xdr:cNvPr id="66138" name="직선 화살표 연결선 66137">
          <a:extLst>
            <a:ext uri="{FF2B5EF4-FFF2-40B4-BE49-F238E27FC236}">
              <a16:creationId xmlns:a16="http://schemas.microsoft.com/office/drawing/2014/main" id="{72A80948-286C-2B0B-006F-8C8A78715450}"/>
            </a:ext>
          </a:extLst>
        </xdr:cNvPr>
        <xdr:cNvCxnSpPr/>
      </xdr:nvCxnSpPr>
      <xdr:spPr>
        <a:xfrm>
          <a:off x="13574486" y="1352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20411</xdr:colOff>
      <xdr:row>6</xdr:row>
      <xdr:rowOff>19050</xdr:rowOff>
    </xdr:from>
    <xdr:to>
      <xdr:col>38</xdr:col>
      <xdr:colOff>123734</xdr:colOff>
      <xdr:row>6</xdr:row>
      <xdr:rowOff>133350</xdr:rowOff>
    </xdr:to>
    <xdr:sp macro="" textlink="">
      <xdr:nvSpPr>
        <xdr:cNvPr id="66139" name="3">
          <a:extLst>
            <a:ext uri="{FF2B5EF4-FFF2-40B4-BE49-F238E27FC236}">
              <a16:creationId xmlns:a16="http://schemas.microsoft.com/office/drawing/2014/main" id="{8AD212A3-58C5-A580-4411-3CD2FE19EA9F}"/>
            </a:ext>
          </a:extLst>
        </xdr:cNvPr>
        <xdr:cNvSpPr/>
      </xdr:nvSpPr>
      <xdr:spPr>
        <a:xfrm>
          <a:off x="13574486" y="1143000"/>
          <a:ext cx="10332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20411</xdr:colOff>
      <xdr:row>6</xdr:row>
      <xdr:rowOff>76200</xdr:rowOff>
    </xdr:from>
    <xdr:to>
      <xdr:col>38</xdr:col>
      <xdr:colOff>20411</xdr:colOff>
      <xdr:row>6</xdr:row>
      <xdr:rowOff>76200</xdr:rowOff>
    </xdr:to>
    <xdr:cxnSp macro="">
      <xdr:nvCxnSpPr>
        <xdr:cNvPr id="66140" name="직선 화살표 연결선 66139">
          <a:extLst>
            <a:ext uri="{FF2B5EF4-FFF2-40B4-BE49-F238E27FC236}">
              <a16:creationId xmlns:a16="http://schemas.microsoft.com/office/drawing/2014/main" id="{F8C188BF-2A59-D70F-2A22-9919F8F4C388}"/>
            </a:ext>
          </a:extLst>
        </xdr:cNvPr>
        <xdr:cNvCxnSpPr/>
      </xdr:nvCxnSpPr>
      <xdr:spPr>
        <a:xfrm>
          <a:off x="13574486" y="1200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20411</xdr:colOff>
      <xdr:row>5</xdr:row>
      <xdr:rowOff>19050</xdr:rowOff>
    </xdr:from>
    <xdr:to>
      <xdr:col>38</xdr:col>
      <xdr:colOff>123734</xdr:colOff>
      <xdr:row>5</xdr:row>
      <xdr:rowOff>133350</xdr:rowOff>
    </xdr:to>
    <xdr:sp macro="" textlink="">
      <xdr:nvSpPr>
        <xdr:cNvPr id="66141" name="2">
          <a:extLst>
            <a:ext uri="{FF2B5EF4-FFF2-40B4-BE49-F238E27FC236}">
              <a16:creationId xmlns:a16="http://schemas.microsoft.com/office/drawing/2014/main" id="{7E70BCD2-0620-F10D-DD82-0C7B5CB9C4AF}"/>
            </a:ext>
          </a:extLst>
        </xdr:cNvPr>
        <xdr:cNvSpPr/>
      </xdr:nvSpPr>
      <xdr:spPr>
        <a:xfrm>
          <a:off x="13574486" y="990600"/>
          <a:ext cx="103323"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20411</xdr:colOff>
      <xdr:row>5</xdr:row>
      <xdr:rowOff>76200</xdr:rowOff>
    </xdr:from>
    <xdr:to>
      <xdr:col>38</xdr:col>
      <xdr:colOff>20411</xdr:colOff>
      <xdr:row>5</xdr:row>
      <xdr:rowOff>76200</xdr:rowOff>
    </xdr:to>
    <xdr:cxnSp macro="">
      <xdr:nvCxnSpPr>
        <xdr:cNvPr id="66142" name="직선 화살표 연결선 66141">
          <a:extLst>
            <a:ext uri="{FF2B5EF4-FFF2-40B4-BE49-F238E27FC236}">
              <a16:creationId xmlns:a16="http://schemas.microsoft.com/office/drawing/2014/main" id="{91073205-1A68-A424-6DA7-0535CB709F3E}"/>
            </a:ext>
          </a:extLst>
        </xdr:cNvPr>
        <xdr:cNvCxnSpPr/>
      </xdr:nvCxnSpPr>
      <xdr:spPr>
        <a:xfrm>
          <a:off x="13574486" y="1047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4</xdr:row>
      <xdr:rowOff>19050</xdr:rowOff>
    </xdr:from>
    <xdr:to>
      <xdr:col>39</xdr:col>
      <xdr:colOff>123734</xdr:colOff>
      <xdr:row>4</xdr:row>
      <xdr:rowOff>133350</xdr:rowOff>
    </xdr:to>
    <xdr:sp macro="" textlink="">
      <xdr:nvSpPr>
        <xdr:cNvPr id="66143" name="1">
          <a:extLst>
            <a:ext uri="{FF2B5EF4-FFF2-40B4-BE49-F238E27FC236}">
              <a16:creationId xmlns:a16="http://schemas.microsoft.com/office/drawing/2014/main" id="{DAE9F1FC-7A77-E0FD-134E-ED77163107D0}"/>
            </a:ext>
          </a:extLst>
        </xdr:cNvPr>
        <xdr:cNvSpPr/>
      </xdr:nvSpPr>
      <xdr:spPr>
        <a:xfrm>
          <a:off x="12574360" y="838200"/>
          <a:ext cx="1246324"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4</xdr:row>
      <xdr:rowOff>76200</xdr:rowOff>
    </xdr:from>
    <xdr:to>
      <xdr:col>33</xdr:col>
      <xdr:colOff>65913</xdr:colOff>
      <xdr:row>4</xdr:row>
      <xdr:rowOff>76200</xdr:rowOff>
    </xdr:to>
    <xdr:cxnSp macro="">
      <xdr:nvCxnSpPr>
        <xdr:cNvPr id="66144" name="직선 화살표 연결선 66143">
          <a:extLst>
            <a:ext uri="{FF2B5EF4-FFF2-40B4-BE49-F238E27FC236}">
              <a16:creationId xmlns:a16="http://schemas.microsoft.com/office/drawing/2014/main" id="{A095CE37-E895-D99A-7A66-4D55F61EDEB7}"/>
            </a:ext>
          </a:extLst>
        </xdr:cNvPr>
        <xdr:cNvCxnSpPr/>
      </xdr:nvCxnSpPr>
      <xdr:spPr>
        <a:xfrm>
          <a:off x="12574360" y="895350"/>
          <a:ext cx="3312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xlworks.net/xlgantt-howto-09-multilingual-support/" TargetMode="External"/><Relationship Id="rId13" Type="http://schemas.openxmlformats.org/officeDocument/2006/relationships/hyperlink" Target="https://xlworks.net/xlgantt-project-scheduler/" TargetMode="External"/><Relationship Id="rId18" Type="http://schemas.openxmlformats.org/officeDocument/2006/relationships/printerSettings" Target="../printerSettings/printerSettings1.bin"/><Relationship Id="rId3" Type="http://schemas.openxmlformats.org/officeDocument/2006/relationships/hyperlink" Target="https://xlworks.net/xlgantt-howto-03-gantt-chart/" TargetMode="External"/><Relationship Id="rId7" Type="http://schemas.openxmlformats.org/officeDocument/2006/relationships/hyperlink" Target="https://xlworks.net/xlgantt-howto-08-add-tasks-to-outlook/" TargetMode="External"/><Relationship Id="rId12" Type="http://schemas.openxmlformats.org/officeDocument/2006/relationships/hyperlink" Target="https://xlworks.net/xlgantt-howto-04-project-progress/" TargetMode="External"/><Relationship Id="rId17" Type="http://schemas.openxmlformats.org/officeDocument/2006/relationships/hyperlink" Target="https://xlworks.net/xlgantt-howto-16-task-dependencies/" TargetMode="External"/><Relationship Id="rId2" Type="http://schemas.openxmlformats.org/officeDocument/2006/relationships/hyperlink" Target="https://xlworks.net/xlgantt-howto-02-task/" TargetMode="External"/><Relationship Id="rId16" Type="http://schemas.openxmlformats.org/officeDocument/2006/relationships/hyperlink" Target="https://xlworks.net/xlgantt-howto-14-workloads/" TargetMode="External"/><Relationship Id="rId1" Type="http://schemas.openxmlformats.org/officeDocument/2006/relationships/hyperlink" Target="https://xlworks.net/xlgantt-easy-tip/" TargetMode="External"/><Relationship Id="rId6" Type="http://schemas.openxmlformats.org/officeDocument/2006/relationships/hyperlink" Target="https://xlworks.net/xlgantt-howto-07-deliverables/" TargetMode="External"/><Relationship Id="rId11" Type="http://schemas.openxmlformats.org/officeDocument/2006/relationships/hyperlink" Target="https://xlworks.net/xlgantt-howto-12-integration-with-excel/" TargetMode="External"/><Relationship Id="rId5" Type="http://schemas.openxmlformats.org/officeDocument/2006/relationships/hyperlink" Target="https://xlworks.net/xlgantt-howto-06-schedule-change-management/" TargetMode="External"/><Relationship Id="rId15" Type="http://schemas.openxmlformats.org/officeDocument/2006/relationships/hyperlink" Target="https://xlworks.net/xlgantt-howto-15-color-theme/" TargetMode="External"/><Relationship Id="rId10" Type="http://schemas.openxmlformats.org/officeDocument/2006/relationships/hyperlink" Target="https://xlworks.net/xlgantt-howto-11-calendar/" TargetMode="External"/><Relationship Id="rId4" Type="http://schemas.openxmlformats.org/officeDocument/2006/relationships/hyperlink" Target="https://xlworks.net/xlgantt-howto-05-analysis-report/" TargetMode="External"/><Relationship Id="rId9" Type="http://schemas.openxmlformats.org/officeDocument/2006/relationships/hyperlink" Target="https://xlworks.net/xlgantt-howto-10-import-schedule/" TargetMode="External"/><Relationship Id="rId14" Type="http://schemas.openxmlformats.org/officeDocument/2006/relationships/hyperlink" Target="https://xlworks.net/xlgantt-project-scheduler/"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xlworks.net/xlgantt-project-scheduler/"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s://xlworks.net/xlgantt-howto-16-task-dependencies/" TargetMode="External"/><Relationship Id="rId1" Type="http://schemas.openxmlformats.org/officeDocument/2006/relationships/hyperlink" Target="https://xlworks.net/xlgantt-howto-16-task-dependencies/"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xlworks.io/xlgantt-project-scheduler/"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0"/>
  </sheetPr>
  <dimension ref="A1:L35"/>
  <sheetViews>
    <sheetView showGridLines="0" zoomScale="90" zoomScaleNormal="90" workbookViewId="0">
      <selection sqref="A1:G2"/>
    </sheetView>
  </sheetViews>
  <sheetFormatPr defaultColWidth="9" defaultRowHeight="15.75"/>
  <cols>
    <col min="1" max="1" width="5.875" style="76" customWidth="1"/>
    <col min="2" max="2" width="29.875" style="97" customWidth="1"/>
    <col min="3" max="3" width="1.25" style="76" customWidth="1"/>
    <col min="4" max="11" width="9" style="76"/>
    <col min="12" max="12" width="19.5" style="76" customWidth="1"/>
    <col min="13" max="21" width="9" style="76"/>
    <col min="22" max="22" width="0" style="76" hidden="1" customWidth="1"/>
    <col min="23" max="26" width="9" style="76"/>
    <col min="27" max="28" width="0" style="76" hidden="1" customWidth="1"/>
    <col min="29" max="16384" width="9" style="76"/>
  </cols>
  <sheetData>
    <row r="1" spans="1:12" ht="20.25" customHeight="1">
      <c r="A1" s="215" t="s">
        <v>0</v>
      </c>
      <c r="B1" s="216"/>
      <c r="C1" s="216"/>
      <c r="D1" s="216"/>
      <c r="E1" s="216"/>
      <c r="F1" s="216"/>
      <c r="G1" s="216"/>
      <c r="H1" s="100"/>
      <c r="I1" s="100"/>
      <c r="J1" s="219" t="s">
        <v>1</v>
      </c>
      <c r="K1" s="220"/>
      <c r="L1" s="220"/>
    </row>
    <row r="2" spans="1:12" s="32" customFormat="1" ht="33.75" customHeight="1">
      <c r="A2" s="217"/>
      <c r="B2" s="218"/>
      <c r="C2" s="218"/>
      <c r="D2" s="218"/>
      <c r="E2" s="218"/>
      <c r="F2" s="218"/>
      <c r="G2" s="218"/>
      <c r="H2" s="213" t="s">
        <v>2</v>
      </c>
      <c r="I2" s="214"/>
      <c r="J2" s="214"/>
      <c r="K2" s="214"/>
      <c r="L2" s="214"/>
    </row>
    <row r="4" spans="1:12" ht="17.25" customHeight="1">
      <c r="B4" s="221" t="s">
        <v>3</v>
      </c>
      <c r="C4" s="222"/>
      <c r="D4" s="222"/>
      <c r="E4" s="222"/>
      <c r="F4" s="222"/>
      <c r="G4" s="222"/>
      <c r="H4" s="222"/>
      <c r="I4" s="222"/>
      <c r="J4" s="222"/>
      <c r="K4" s="222"/>
      <c r="L4" s="222"/>
    </row>
    <row r="5" spans="1:12" ht="27.75" customHeight="1">
      <c r="B5" s="222"/>
      <c r="C5" s="222"/>
      <c r="D5" s="222"/>
      <c r="E5" s="222"/>
      <c r="F5" s="222"/>
      <c r="G5" s="222"/>
      <c r="H5" s="222"/>
      <c r="I5" s="222"/>
      <c r="J5" s="222"/>
      <c r="K5" s="222"/>
      <c r="L5" s="222"/>
    </row>
    <row r="6" spans="1:12" s="32" customFormat="1" ht="12.75">
      <c r="B6" s="77"/>
    </row>
    <row r="7" spans="1:12" s="32" customFormat="1" ht="18.75">
      <c r="B7" s="78" t="s">
        <v>4</v>
      </c>
      <c r="D7" s="79"/>
    </row>
    <row r="8" spans="1:12" s="32" customFormat="1" ht="7.5" customHeight="1">
      <c r="B8" s="77"/>
    </row>
    <row r="9" spans="1:12" s="32" customFormat="1" ht="29.25" customHeight="1" thickBot="1">
      <c r="A9" s="80"/>
      <c r="B9" s="81" t="s">
        <v>5</v>
      </c>
      <c r="C9" s="80"/>
      <c r="D9" s="223" t="s">
        <v>6</v>
      </c>
      <c r="E9" s="223"/>
      <c r="F9" s="223"/>
      <c r="G9" s="223"/>
      <c r="H9" s="223"/>
      <c r="I9" s="223"/>
      <c r="J9" s="223"/>
      <c r="K9" s="223"/>
      <c r="L9" s="223"/>
    </row>
    <row r="10" spans="1:12" s="32" customFormat="1" ht="29.25" customHeight="1" thickTop="1" thickBot="1">
      <c r="A10" s="80"/>
      <c r="B10" s="82" t="s">
        <v>7</v>
      </c>
      <c r="C10" s="80"/>
      <c r="D10" s="223" t="s">
        <v>8</v>
      </c>
      <c r="E10" s="223"/>
      <c r="F10" s="223"/>
      <c r="G10" s="223"/>
      <c r="H10" s="223"/>
      <c r="I10" s="223"/>
      <c r="J10" s="223"/>
      <c r="K10" s="223"/>
      <c r="L10" s="223"/>
    </row>
    <row r="11" spans="1:12" s="32" customFormat="1" ht="29.25" customHeight="1" thickTop="1" thickBot="1">
      <c r="A11" s="80"/>
      <c r="B11" s="83" t="s">
        <v>9</v>
      </c>
      <c r="C11" s="80"/>
      <c r="D11" s="223" t="s">
        <v>10</v>
      </c>
      <c r="E11" s="223"/>
      <c r="F11" s="223"/>
      <c r="G11" s="223"/>
      <c r="H11" s="223"/>
      <c r="I11" s="223"/>
      <c r="J11" s="223"/>
      <c r="K11" s="223"/>
      <c r="L11" s="223"/>
    </row>
    <row r="12" spans="1:12" s="32" customFormat="1" ht="29.25" customHeight="1" thickTop="1" thickBot="1">
      <c r="A12" s="80"/>
      <c r="B12" s="84" t="s">
        <v>11</v>
      </c>
      <c r="C12" s="80"/>
      <c r="D12" s="223" t="s">
        <v>12</v>
      </c>
      <c r="E12" s="223"/>
      <c r="F12" s="223"/>
      <c r="G12" s="223"/>
      <c r="H12" s="223"/>
      <c r="I12" s="223"/>
      <c r="J12" s="223"/>
      <c r="K12" s="223"/>
      <c r="L12" s="223"/>
    </row>
    <row r="13" spans="1:12" s="32" customFormat="1" ht="29.25" customHeight="1" thickTop="1" thickBot="1">
      <c r="A13" s="80"/>
      <c r="B13" s="85" t="s">
        <v>13</v>
      </c>
      <c r="C13" s="80"/>
      <c r="D13" s="223" t="s">
        <v>14</v>
      </c>
      <c r="E13" s="223"/>
      <c r="F13" s="223"/>
      <c r="G13" s="223"/>
      <c r="H13" s="223"/>
      <c r="I13" s="223"/>
      <c r="J13" s="223"/>
      <c r="K13" s="223"/>
      <c r="L13" s="223"/>
    </row>
    <row r="14" spans="1:12" s="32" customFormat="1" ht="29.25" customHeight="1" thickTop="1" thickBot="1">
      <c r="A14" s="80"/>
      <c r="B14" s="86" t="s">
        <v>15</v>
      </c>
      <c r="C14" s="80"/>
      <c r="D14" s="223" t="s">
        <v>16</v>
      </c>
      <c r="E14" s="223"/>
      <c r="F14" s="223"/>
      <c r="G14" s="223"/>
      <c r="H14" s="223"/>
      <c r="I14" s="223"/>
      <c r="J14" s="223"/>
      <c r="K14" s="223"/>
      <c r="L14" s="223"/>
    </row>
    <row r="15" spans="1:12" ht="16.5" thickTop="1">
      <c r="A15" s="87"/>
      <c r="B15" s="88"/>
      <c r="C15" s="87"/>
      <c r="D15" s="89"/>
      <c r="E15" s="89"/>
      <c r="F15" s="89"/>
      <c r="G15" s="89"/>
      <c r="H15" s="89"/>
      <c r="I15" s="89"/>
      <c r="J15" s="89"/>
      <c r="K15" s="89"/>
      <c r="L15" s="89"/>
    </row>
    <row r="16" spans="1:12" s="32" customFormat="1" ht="18.75">
      <c r="B16" s="78" t="s">
        <v>17</v>
      </c>
      <c r="D16" s="79"/>
    </row>
    <row r="17" spans="2:12" s="32" customFormat="1" ht="5.25" customHeight="1">
      <c r="B17" s="90"/>
      <c r="D17" s="79"/>
    </row>
    <row r="18" spans="2:12" s="32" customFormat="1" ht="26.25" customHeight="1" thickBot="1">
      <c r="B18" s="91" t="s">
        <v>18</v>
      </c>
      <c r="D18" s="211" t="s">
        <v>19</v>
      </c>
      <c r="E18" s="211"/>
      <c r="F18" s="211"/>
      <c r="G18" s="211"/>
      <c r="H18" s="211"/>
      <c r="I18" s="211"/>
      <c r="J18" s="211"/>
      <c r="K18" s="211"/>
      <c r="L18" s="98" t="s">
        <v>20</v>
      </c>
    </row>
    <row r="19" spans="2:12" s="32" customFormat="1" ht="53.25" customHeight="1" thickTop="1" thickBot="1">
      <c r="B19" s="91" t="s">
        <v>21</v>
      </c>
      <c r="D19" s="211" t="s">
        <v>22</v>
      </c>
      <c r="E19" s="211"/>
      <c r="F19" s="211"/>
      <c r="G19" s="211"/>
      <c r="H19" s="211"/>
      <c r="I19" s="211"/>
      <c r="J19" s="211"/>
      <c r="K19" s="211"/>
      <c r="L19" s="98" t="s">
        <v>20</v>
      </c>
    </row>
    <row r="20" spans="2:12" s="32" customFormat="1" ht="26.25" customHeight="1" thickTop="1" thickBot="1">
      <c r="B20" s="91" t="s">
        <v>23</v>
      </c>
      <c r="D20" s="211" t="s">
        <v>24</v>
      </c>
      <c r="E20" s="211"/>
      <c r="F20" s="211"/>
      <c r="G20" s="211"/>
      <c r="H20" s="211"/>
      <c r="I20" s="211"/>
      <c r="J20" s="211"/>
      <c r="K20" s="211"/>
      <c r="L20" s="98" t="s">
        <v>20</v>
      </c>
    </row>
    <row r="21" spans="2:12" s="32" customFormat="1" ht="26.25" customHeight="1" thickTop="1" thickBot="1">
      <c r="B21" s="91" t="s">
        <v>25</v>
      </c>
      <c r="D21" s="211" t="s">
        <v>26</v>
      </c>
      <c r="E21" s="211"/>
      <c r="F21" s="211"/>
      <c r="G21" s="211"/>
      <c r="H21" s="211"/>
      <c r="I21" s="211"/>
      <c r="J21" s="211"/>
      <c r="K21" s="211"/>
      <c r="L21" s="98" t="s">
        <v>20</v>
      </c>
    </row>
    <row r="22" spans="2:12" s="32" customFormat="1" ht="33.75" customHeight="1" thickTop="1" thickBot="1">
      <c r="B22" s="91" t="s">
        <v>27</v>
      </c>
      <c r="D22" s="211" t="s">
        <v>28</v>
      </c>
      <c r="E22" s="211"/>
      <c r="F22" s="211"/>
      <c r="G22" s="211"/>
      <c r="H22" s="211"/>
      <c r="I22" s="211"/>
      <c r="J22" s="211"/>
      <c r="K22" s="211"/>
      <c r="L22" s="98" t="s">
        <v>20</v>
      </c>
    </row>
    <row r="23" spans="2:12" s="32" customFormat="1" ht="52.5" customHeight="1" thickTop="1" thickBot="1">
      <c r="B23" s="91" t="s">
        <v>29</v>
      </c>
      <c r="D23" s="211" t="s">
        <v>30</v>
      </c>
      <c r="E23" s="211"/>
      <c r="F23" s="211"/>
      <c r="G23" s="211"/>
      <c r="H23" s="211"/>
      <c r="I23" s="211"/>
      <c r="J23" s="211"/>
      <c r="K23" s="211"/>
      <c r="L23" s="98" t="s">
        <v>20</v>
      </c>
    </row>
    <row r="24" spans="2:12" s="32" customFormat="1" ht="47.25" customHeight="1" thickTop="1" thickBot="1">
      <c r="B24" s="91" t="s">
        <v>31</v>
      </c>
      <c r="D24" s="211" t="s">
        <v>32</v>
      </c>
      <c r="E24" s="211"/>
      <c r="F24" s="211"/>
      <c r="G24" s="211"/>
      <c r="H24" s="211"/>
      <c r="I24" s="211"/>
      <c r="J24" s="211"/>
      <c r="K24" s="211"/>
      <c r="L24" s="98" t="s">
        <v>20</v>
      </c>
    </row>
    <row r="25" spans="2:12" s="32" customFormat="1" ht="33.75" customHeight="1" thickTop="1" thickBot="1">
      <c r="B25" s="91" t="s">
        <v>33</v>
      </c>
      <c r="D25" s="211" t="s">
        <v>34</v>
      </c>
      <c r="E25" s="211"/>
      <c r="F25" s="211"/>
      <c r="G25" s="211"/>
      <c r="H25" s="211"/>
      <c r="I25" s="211"/>
      <c r="J25" s="211"/>
      <c r="K25" s="211"/>
      <c r="L25" s="98" t="s">
        <v>20</v>
      </c>
    </row>
    <row r="26" spans="2:12" s="32" customFormat="1" ht="53.25" customHeight="1" thickTop="1" thickBot="1">
      <c r="B26" s="91" t="s">
        <v>35</v>
      </c>
      <c r="D26" s="211" t="s">
        <v>36</v>
      </c>
      <c r="E26" s="211"/>
      <c r="F26" s="211"/>
      <c r="G26" s="211"/>
      <c r="H26" s="211"/>
      <c r="I26" s="211"/>
      <c r="J26" s="211"/>
      <c r="K26" s="211"/>
      <c r="L26" s="98" t="s">
        <v>20</v>
      </c>
    </row>
    <row r="27" spans="2:12" s="32" customFormat="1" ht="35.25" customHeight="1" thickTop="1" thickBot="1">
      <c r="B27" s="91" t="s">
        <v>37</v>
      </c>
      <c r="D27" s="211" t="s">
        <v>38</v>
      </c>
      <c r="E27" s="211"/>
      <c r="F27" s="211"/>
      <c r="G27" s="211"/>
      <c r="H27" s="211"/>
      <c r="I27" s="211"/>
      <c r="J27" s="211"/>
      <c r="K27" s="211"/>
      <c r="L27" s="98" t="s">
        <v>20</v>
      </c>
    </row>
    <row r="28" spans="2:12" s="32" customFormat="1" ht="43.5" customHeight="1" thickTop="1" thickBot="1">
      <c r="B28" s="91" t="s">
        <v>11</v>
      </c>
      <c r="D28" s="211" t="s">
        <v>39</v>
      </c>
      <c r="E28" s="211"/>
      <c r="F28" s="211"/>
      <c r="G28" s="211"/>
      <c r="H28" s="211"/>
      <c r="I28" s="211"/>
      <c r="J28" s="211"/>
      <c r="K28" s="211"/>
      <c r="L28" s="98" t="s">
        <v>20</v>
      </c>
    </row>
    <row r="29" spans="2:12" s="32" customFormat="1" ht="49.5" customHeight="1" thickTop="1" thickBot="1">
      <c r="B29" s="91" t="s">
        <v>40</v>
      </c>
      <c r="D29" s="211" t="s">
        <v>41</v>
      </c>
      <c r="E29" s="211"/>
      <c r="F29" s="211"/>
      <c r="G29" s="211"/>
      <c r="H29" s="211"/>
      <c r="I29" s="211"/>
      <c r="J29" s="211"/>
      <c r="K29" s="211"/>
      <c r="L29" s="98" t="s">
        <v>20</v>
      </c>
    </row>
    <row r="30" spans="2:12" s="32" customFormat="1" ht="24.75" customHeight="1" thickTop="1" thickBot="1">
      <c r="B30" s="126" t="s">
        <v>42</v>
      </c>
      <c r="D30" s="211" t="s">
        <v>43</v>
      </c>
      <c r="E30" s="211"/>
      <c r="F30" s="211"/>
      <c r="G30" s="211"/>
      <c r="H30" s="211"/>
      <c r="I30" s="211"/>
      <c r="J30" s="211"/>
      <c r="K30" s="211"/>
      <c r="L30" s="98" t="s">
        <v>20</v>
      </c>
    </row>
    <row r="31" spans="2:12" s="32" customFormat="1" ht="24.75" customHeight="1" thickTop="1" thickBot="1">
      <c r="B31" s="91" t="s">
        <v>44</v>
      </c>
      <c r="D31" s="211" t="s">
        <v>45</v>
      </c>
      <c r="E31" s="211"/>
      <c r="F31" s="211"/>
      <c r="G31" s="211"/>
      <c r="H31" s="211"/>
      <c r="I31" s="211"/>
      <c r="J31" s="211"/>
      <c r="K31" s="211"/>
      <c r="L31" s="98" t="s">
        <v>20</v>
      </c>
    </row>
    <row r="32" spans="2:12" s="32" customFormat="1" ht="24.75" customHeight="1" thickTop="1" thickBot="1">
      <c r="B32" s="91" t="s">
        <v>46</v>
      </c>
      <c r="D32" s="211" t="s">
        <v>47</v>
      </c>
      <c r="E32" s="211"/>
      <c r="F32" s="211"/>
      <c r="G32" s="211"/>
      <c r="H32" s="211"/>
      <c r="I32" s="211"/>
      <c r="J32" s="211"/>
      <c r="K32" s="211"/>
      <c r="L32" s="98" t="s">
        <v>20</v>
      </c>
    </row>
    <row r="33" spans="2:12" s="32" customFormat="1" thickTop="1">
      <c r="B33" s="92"/>
      <c r="D33" s="79"/>
      <c r="L33" s="80"/>
    </row>
    <row r="34" spans="2:12" s="32" customFormat="1" ht="18.75" customHeight="1">
      <c r="B34" s="93" t="s">
        <v>48</v>
      </c>
      <c r="C34" s="94"/>
      <c r="D34" s="95"/>
      <c r="E34" s="94"/>
      <c r="F34" s="94"/>
      <c r="G34" s="94"/>
      <c r="H34" s="94"/>
      <c r="I34" s="94"/>
      <c r="J34" s="94"/>
      <c r="K34" s="94"/>
      <c r="L34" s="96"/>
    </row>
    <row r="35" spans="2:12" s="32" customFormat="1" ht="59.25" customHeight="1">
      <c r="B35" s="212" t="s">
        <v>49</v>
      </c>
      <c r="C35" s="212"/>
      <c r="D35" s="212"/>
      <c r="E35" s="212"/>
      <c r="F35" s="212"/>
      <c r="G35" s="212"/>
      <c r="H35" s="212"/>
      <c r="I35" s="212"/>
      <c r="J35" s="212"/>
      <c r="K35" s="212"/>
      <c r="L35" s="212"/>
    </row>
  </sheetData>
  <mergeCells count="26">
    <mergeCell ref="D26:K26"/>
    <mergeCell ref="D27:K27"/>
    <mergeCell ref="D11:L11"/>
    <mergeCell ref="D12:L12"/>
    <mergeCell ref="D14:L14"/>
    <mergeCell ref="D13:L13"/>
    <mergeCell ref="D23:K23"/>
    <mergeCell ref="D24:K24"/>
    <mergeCell ref="H2:L2"/>
    <mergeCell ref="D22:K22"/>
    <mergeCell ref="A1:G2"/>
    <mergeCell ref="D25:K25"/>
    <mergeCell ref="J1:L1"/>
    <mergeCell ref="D19:K19"/>
    <mergeCell ref="D20:K20"/>
    <mergeCell ref="D21:K21"/>
    <mergeCell ref="B4:L5"/>
    <mergeCell ref="D18:K18"/>
    <mergeCell ref="D9:L9"/>
    <mergeCell ref="D10:L10"/>
    <mergeCell ref="D31:K31"/>
    <mergeCell ref="D30:K30"/>
    <mergeCell ref="D28:K28"/>
    <mergeCell ref="D29:K29"/>
    <mergeCell ref="B35:L35"/>
    <mergeCell ref="D32:K32"/>
  </mergeCells>
  <phoneticPr fontId="11" type="noConversion"/>
  <hyperlinks>
    <hyperlink ref="B9" location="Schedule!A1" display="Schedule" xr:uid="{00000000-0004-0000-0000-000000000000}"/>
    <hyperlink ref="B10" location="Progress!A1" display="Progress" xr:uid="{00000000-0004-0000-0000-000001000000}"/>
    <hyperlink ref="B11" location="AnalysisReport!A1" display="AnalysisReport" xr:uid="{00000000-0004-0000-0000-000002000000}"/>
    <hyperlink ref="B13" location="Workload!A1" display="Workload" xr:uid="{00000000-0004-0000-0000-000003000000}"/>
    <hyperlink ref="L18" r:id="rId1" display="https://xlworks.net/xlgantt-easy-tip/" xr:uid="{00000000-0004-0000-0000-000004000000}"/>
    <hyperlink ref="L19" r:id="rId2" display="https://xlworks.net/xlgantt-howto-02-task/" xr:uid="{00000000-0004-0000-0000-000005000000}"/>
    <hyperlink ref="L20" r:id="rId3" display="https://xlworks.net/xlgantt-howto-03-gantt-chart/" xr:uid="{00000000-0004-0000-0000-000006000000}"/>
    <hyperlink ref="L22" r:id="rId4" display="https://xlworks.net/xlgantt-howto-05-analysis-report/" xr:uid="{00000000-0004-0000-0000-000007000000}"/>
    <hyperlink ref="L23" r:id="rId5" display="https://xlworks.net/xlgantt-howto-06-schedule-change-management/" xr:uid="{00000000-0004-0000-0000-000008000000}"/>
    <hyperlink ref="L24" r:id="rId6" display="https://xlworks.net/xlgantt-howto-07-deliverables/" xr:uid="{00000000-0004-0000-0000-000009000000}"/>
    <hyperlink ref="L25" r:id="rId7" display="https://xlworks.net/xlgantt-howto-08-add-tasks-to-outlook/" xr:uid="{00000000-0004-0000-0000-00000A000000}"/>
    <hyperlink ref="L26" r:id="rId8" display="https://xlworks.net/xlgantt-howto-09-multilingual-support/" xr:uid="{00000000-0004-0000-0000-00000B000000}"/>
    <hyperlink ref="L27" r:id="rId9" display="https://xlworks.net/xlgantt-howto-10-import-schedule/" xr:uid="{00000000-0004-0000-0000-00000C000000}"/>
    <hyperlink ref="L28" r:id="rId10" display="https://xlworks.net/xlgantt-howto-11-calendar/" xr:uid="{00000000-0004-0000-0000-00000D000000}"/>
    <hyperlink ref="L29" r:id="rId11" display="https://xlworks.net/xlgantt-howto-12-integration-with-excel/" xr:uid="{00000000-0004-0000-0000-00000E000000}"/>
    <hyperlink ref="L21" r:id="rId12" display="https://xlworks.net/xlgantt-howto-04-project-progress/" xr:uid="{00000000-0004-0000-0000-00000F000000}"/>
    <hyperlink ref="B12" location="Calendar!A1" display="Calendar" xr:uid="{00000000-0004-0000-0000-000010000000}"/>
    <hyperlink ref="J1" r:id="rId13" display="https://xlworks.net/xlgantt-project-scheduler/" xr:uid="{00000000-0004-0000-0000-000011000000}"/>
    <hyperlink ref="H2" r:id="rId14" display="https://xlworks.net/xlgantt-project-scheduler/" xr:uid="{00000000-0004-0000-0000-000012000000}"/>
    <hyperlink ref="L31" r:id="rId15" display="https://xlworks.net/xlgantt-howto-15-color-theme/" xr:uid="{00000000-0004-0000-0000-000013000000}"/>
    <hyperlink ref="L30" r:id="rId16" display="https://xlworks.net/xlgantt-howto-14-workloads/" xr:uid="{00000000-0004-0000-0000-000014000000}"/>
    <hyperlink ref="L32" r:id="rId17" display="https://xlworks.net/xlgantt-howto-16-task-dependencies/" xr:uid="{00000000-0004-0000-0000-000015000000}"/>
  </hyperlinks>
  <pageMargins left="0.7" right="0.7" top="0.75" bottom="0.75" header="0.3" footer="0.3"/>
  <pageSetup paperSize="9" orientation="portrait" horizontalDpi="300" verticalDpi="300" r:id="rId1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tabColor rgb="FF00A44A"/>
    <outlinePr summaryBelow="0"/>
    <pageSetUpPr fitToPage="1"/>
  </sheetPr>
  <dimension ref="A1:DD71"/>
  <sheetViews>
    <sheetView tabSelected="1" zoomScaleNormal="100" zoomScaleSheetLayoutView="115" zoomScalePageLayoutView="55" workbookViewId="0">
      <pane ySplit="4" topLeftCell="A35" activePane="bottomLeft" state="frozen"/>
      <selection activeCell="D1" sqref="D1"/>
      <selection pane="bottomLeft" activeCell="D5" sqref="D5"/>
    </sheetView>
  </sheetViews>
  <sheetFormatPr defaultColWidth="10" defaultRowHeight="12" customHeight="1" outlineLevelRow="2"/>
  <cols>
    <col min="1" max="1" width="9.125" style="101" hidden="1" customWidth="1"/>
    <col min="2" max="2" width="9" style="101" hidden="1" customWidth="1"/>
    <col min="3" max="3" width="8.375" style="101" hidden="1" customWidth="1"/>
    <col min="4" max="4" width="9.75" style="102" customWidth="1"/>
    <col min="5" max="13" width="2.75" style="103" customWidth="1"/>
    <col min="14" max="14" width="4.5" style="103" bestFit="1" customWidth="1"/>
    <col min="15" max="15" width="34.125" style="103" customWidth="1"/>
    <col min="16" max="16" width="10.375" style="104" bestFit="1" customWidth="1"/>
    <col min="17" max="17" width="10" style="104" bestFit="1" customWidth="1"/>
    <col min="18" max="18" width="7.625" style="103" hidden="1" customWidth="1"/>
    <col min="19" max="19" width="7.375" style="105" customWidth="1"/>
    <col min="20" max="20" width="5.625" style="105" customWidth="1"/>
    <col min="21" max="21" width="6" style="105" customWidth="1"/>
    <col min="22" max="22" width="5.875" style="105" customWidth="1"/>
    <col min="23" max="24" width="9.75" style="104" hidden="1" customWidth="1"/>
    <col min="25" max="25" width="7.5" style="106" hidden="1" customWidth="1"/>
    <col min="26" max="26" width="6" style="107" hidden="1" customWidth="1"/>
    <col min="27" max="27" width="6.125" style="105" hidden="1" customWidth="1"/>
    <col min="28" max="28" width="15.875" style="103" customWidth="1"/>
    <col min="29" max="29" width="13" style="108" customWidth="1"/>
    <col min="30" max="30" width="8.375" style="109" bestFit="1" customWidth="1"/>
    <col min="31" max="31" width="9.125" style="110" customWidth="1"/>
    <col min="32" max="108" width="1.875" style="163" customWidth="1"/>
    <col min="109" max="16384" width="10" style="163"/>
  </cols>
  <sheetData>
    <row r="1" spans="1:108" s="175" customFormat="1" ht="24.95" customHeight="1">
      <c r="A1" s="164"/>
      <c r="B1" s="165"/>
      <c r="C1" s="166"/>
      <c r="D1" s="180" t="str">
        <f t="array" aca="1" ref="D1" ca="1">xlgantt.ProjectName()</f>
        <v>[ALP고도화]</v>
      </c>
      <c r="E1" s="167"/>
      <c r="F1" s="167"/>
      <c r="G1" s="167"/>
      <c r="H1" s="167"/>
      <c r="I1" s="167"/>
      <c r="J1" s="167"/>
      <c r="K1" s="167"/>
      <c r="L1" s="167"/>
      <c r="M1" s="167"/>
      <c r="N1" s="167"/>
      <c r="O1" s="167"/>
      <c r="P1" s="167"/>
      <c r="Q1" s="168"/>
      <c r="R1" s="169"/>
      <c r="S1" s="170"/>
      <c r="T1" s="171"/>
      <c r="U1" s="172"/>
      <c r="V1" s="172"/>
      <c r="W1" s="173"/>
      <c r="X1" s="173"/>
      <c r="Y1" s="165"/>
      <c r="Z1" s="174"/>
      <c r="AA1" s="188"/>
      <c r="AB1" s="154"/>
      <c r="AC1" s="189"/>
      <c r="AD1" s="190"/>
      <c r="AE1" s="191" t="str">
        <f t="array" aca="1" ref="AE1" ca="1">xlgantt.ProjectProgressString()</f>
        <v>2024-07-01~2024-09-13 [계획:30.74% 실적:20.49%]</v>
      </c>
      <c r="AF1" s="181" t="s">
        <v>50</v>
      </c>
      <c r="AG1" s="179"/>
      <c r="AH1" s="179"/>
      <c r="AI1" s="179"/>
      <c r="AJ1" s="179"/>
      <c r="AK1" s="179"/>
      <c r="AL1" s="179"/>
      <c r="AM1" s="179"/>
      <c r="AN1" s="179"/>
      <c r="AO1" s="179"/>
      <c r="AP1" s="179"/>
      <c r="AQ1" s="179"/>
      <c r="AR1" s="179"/>
      <c r="AS1" s="179"/>
      <c r="AT1" s="179"/>
      <c r="AU1" s="179"/>
      <c r="AV1" s="179"/>
      <c r="AW1" s="179"/>
      <c r="AX1" s="179"/>
      <c r="AY1" s="179"/>
      <c r="AZ1" s="179"/>
      <c r="BA1" s="179"/>
      <c r="BB1" s="179"/>
      <c r="BC1" s="179"/>
      <c r="BD1" s="179"/>
      <c r="BE1" s="179"/>
      <c r="BF1" s="179"/>
      <c r="BG1" s="179"/>
      <c r="BH1" s="179"/>
      <c r="BI1" s="179"/>
      <c r="BJ1" s="179"/>
    </row>
    <row r="2" spans="1:108" s="175" customFormat="1" ht="15" customHeight="1">
      <c r="A2" s="176"/>
      <c r="B2" s="176"/>
      <c r="C2" s="177"/>
      <c r="D2" s="229"/>
      <c r="E2" s="229"/>
      <c r="F2" s="229"/>
      <c r="G2" s="158"/>
      <c r="H2" s="178"/>
      <c r="I2" s="158"/>
      <c r="J2" s="158"/>
      <c r="K2" s="158"/>
      <c r="L2" s="158"/>
      <c r="M2" s="158"/>
      <c r="N2" s="158"/>
      <c r="O2" s="158"/>
      <c r="P2" s="158"/>
      <c r="Q2" s="158"/>
      <c r="R2" s="158"/>
      <c r="S2" s="159"/>
      <c r="T2" s="159"/>
      <c r="U2" s="159"/>
      <c r="V2" s="159"/>
      <c r="W2" s="158"/>
      <c r="X2" s="158"/>
      <c r="Y2" s="158"/>
      <c r="Z2" s="158"/>
      <c r="AA2" s="158"/>
      <c r="AB2" s="158"/>
      <c r="AC2" s="160"/>
      <c r="AD2" s="161"/>
      <c r="AE2" s="158" t="str">
        <f t="array" aca="1" ref="AE2" ca="1">xlgantt.CommentOnHeadArea()</f>
        <v>계획진척율 계산 기준일자 : 2024-08-01</v>
      </c>
      <c r="AF2" s="227" t="s">
        <v>51</v>
      </c>
      <c r="AG2" s="227"/>
      <c r="AH2" s="227"/>
      <c r="AI2" s="227"/>
      <c r="AJ2" s="227" t="s">
        <v>52</v>
      </c>
      <c r="AK2" s="227"/>
      <c r="AL2" s="227"/>
      <c r="AM2" s="227"/>
      <c r="AN2" s="227" t="s">
        <v>1588</v>
      </c>
      <c r="AO2" s="227"/>
      <c r="AP2" s="227"/>
      <c r="AQ2" s="227"/>
      <c r="AR2" s="138"/>
      <c r="AS2" s="138"/>
      <c r="AT2" s="138"/>
      <c r="AU2" s="138"/>
      <c r="AV2" s="138"/>
      <c r="AW2" s="138"/>
      <c r="AX2" s="138"/>
      <c r="AY2" s="138"/>
      <c r="AZ2" s="138"/>
      <c r="BA2" s="138"/>
      <c r="BB2" s="138"/>
      <c r="BC2" s="138"/>
      <c r="BD2" s="138"/>
      <c r="BE2" s="138"/>
      <c r="BF2" s="138"/>
      <c r="BG2" s="138"/>
      <c r="BH2" s="138"/>
      <c r="BI2" s="138"/>
      <c r="BJ2" s="138"/>
      <c r="BK2" s="138"/>
      <c r="BL2" s="138"/>
      <c r="BM2" s="138"/>
      <c r="BN2" s="138"/>
      <c r="BO2" s="138"/>
      <c r="BP2" s="138"/>
      <c r="BQ2" s="138"/>
      <c r="BR2" s="138"/>
      <c r="BS2" s="138"/>
      <c r="BT2" s="138"/>
      <c r="BU2" s="138"/>
      <c r="BV2" s="138"/>
      <c r="BW2" s="138"/>
      <c r="BX2" s="138"/>
      <c r="BY2" s="138"/>
      <c r="BZ2" s="138"/>
      <c r="CA2" s="138"/>
      <c r="CB2" s="138"/>
      <c r="CC2" s="138"/>
      <c r="CD2" s="138"/>
      <c r="CE2" s="138"/>
      <c r="CF2" s="138"/>
      <c r="CG2" s="138"/>
      <c r="CH2" s="138"/>
      <c r="CI2" s="138"/>
      <c r="CJ2" s="138"/>
      <c r="CK2" s="138"/>
      <c r="CL2" s="138"/>
      <c r="CM2" s="138"/>
      <c r="CN2" s="138"/>
      <c r="CO2" s="138"/>
      <c r="CP2" s="138"/>
      <c r="CQ2" s="138"/>
      <c r="CR2" s="138"/>
      <c r="CS2" s="138"/>
      <c r="CT2" s="138"/>
      <c r="CU2" s="138"/>
      <c r="CV2" s="138"/>
      <c r="CW2" s="138"/>
      <c r="CX2" s="138"/>
      <c r="CY2" s="138"/>
      <c r="CZ2" s="138"/>
      <c r="DA2" s="138"/>
      <c r="DB2" s="138"/>
      <c r="DC2" s="138"/>
      <c r="DD2" s="138"/>
    </row>
    <row r="3" spans="1:108" s="162" customFormat="1" ht="18.95" customHeight="1">
      <c r="A3" s="244" t="s">
        <v>53</v>
      </c>
      <c r="B3" s="246" t="s">
        <v>54</v>
      </c>
      <c r="C3" s="248" t="s">
        <v>55</v>
      </c>
      <c r="D3" s="249" t="s">
        <v>56</v>
      </c>
      <c r="E3" s="250" t="s">
        <v>57</v>
      </c>
      <c r="F3" s="251"/>
      <c r="G3" s="251"/>
      <c r="H3" s="251"/>
      <c r="I3" s="251"/>
      <c r="J3" s="251"/>
      <c r="K3" s="251"/>
      <c r="L3" s="251"/>
      <c r="M3" s="251"/>
      <c r="N3" s="251"/>
      <c r="O3" s="232" t="s">
        <v>58</v>
      </c>
      <c r="P3" s="232" t="s">
        <v>59</v>
      </c>
      <c r="Q3" s="232" t="s">
        <v>60</v>
      </c>
      <c r="R3" s="234" t="s">
        <v>61</v>
      </c>
      <c r="S3" s="236" t="s">
        <v>62</v>
      </c>
      <c r="T3" s="242" t="s">
        <v>63</v>
      </c>
      <c r="U3" s="236" t="s">
        <v>64</v>
      </c>
      <c r="V3" s="236" t="s">
        <v>65</v>
      </c>
      <c r="W3" s="253" t="s">
        <v>66</v>
      </c>
      <c r="X3" s="253" t="s">
        <v>67</v>
      </c>
      <c r="Y3" s="238" t="s">
        <v>68</v>
      </c>
      <c r="Z3" s="240" t="s">
        <v>69</v>
      </c>
      <c r="AA3" s="230" t="s">
        <v>70</v>
      </c>
      <c r="AB3" s="232" t="s">
        <v>71</v>
      </c>
      <c r="AC3" s="234" t="s">
        <v>72</v>
      </c>
      <c r="AD3" s="256" t="s">
        <v>73</v>
      </c>
      <c r="AE3" s="254" t="s">
        <v>74</v>
      </c>
      <c r="AF3" s="228" t="s">
        <v>1571</v>
      </c>
      <c r="AG3" s="225"/>
      <c r="AH3" s="225"/>
      <c r="AI3" s="225"/>
      <c r="AJ3" s="224" t="s">
        <v>1573</v>
      </c>
      <c r="AK3" s="225"/>
      <c r="AL3" s="225"/>
      <c r="AM3" s="225"/>
      <c r="AN3" s="224" t="s">
        <v>1587</v>
      </c>
      <c r="AO3" s="225"/>
      <c r="AP3" s="225"/>
      <c r="AQ3" s="226"/>
    </row>
    <row r="4" spans="1:108" s="162" customFormat="1" ht="6" customHeight="1">
      <c r="A4" s="245"/>
      <c r="B4" s="247"/>
      <c r="C4" s="244"/>
      <c r="D4" s="235"/>
      <c r="E4" s="252"/>
      <c r="F4" s="251"/>
      <c r="G4" s="251"/>
      <c r="H4" s="251"/>
      <c r="I4" s="251"/>
      <c r="J4" s="251"/>
      <c r="K4" s="251"/>
      <c r="L4" s="251"/>
      <c r="M4" s="251"/>
      <c r="N4" s="251"/>
      <c r="O4" s="233"/>
      <c r="P4" s="233"/>
      <c r="Q4" s="233"/>
      <c r="R4" s="235"/>
      <c r="S4" s="237"/>
      <c r="T4" s="243"/>
      <c r="U4" s="237"/>
      <c r="V4" s="237"/>
      <c r="W4" s="233"/>
      <c r="X4" s="233"/>
      <c r="Y4" s="239"/>
      <c r="Z4" s="241"/>
      <c r="AA4" s="231"/>
      <c r="AB4" s="233"/>
      <c r="AC4" s="235"/>
      <c r="AD4" s="257"/>
      <c r="AE4" s="255"/>
      <c r="AF4" s="183">
        <v>45473</v>
      </c>
      <c r="AG4" s="184">
        <v>45480</v>
      </c>
      <c r="AH4" s="184">
        <v>45487</v>
      </c>
      <c r="AI4" s="184">
        <v>45494</v>
      </c>
      <c r="AJ4" s="184">
        <v>45501</v>
      </c>
      <c r="AK4" s="184">
        <v>45508</v>
      </c>
      <c r="AL4" s="184">
        <v>45515</v>
      </c>
      <c r="AM4" s="184">
        <v>45522</v>
      </c>
      <c r="AN4" s="184">
        <v>45529</v>
      </c>
      <c r="AO4" s="184">
        <v>45536</v>
      </c>
      <c r="AP4" s="184">
        <v>45543</v>
      </c>
      <c r="AQ4" s="210"/>
      <c r="AR4" s="187"/>
      <c r="AS4" s="187"/>
      <c r="AT4" s="187"/>
      <c r="AU4" s="187"/>
      <c r="AV4" s="187"/>
      <c r="AW4" s="187"/>
      <c r="AX4" s="187"/>
      <c r="AY4" s="187"/>
      <c r="AZ4" s="187"/>
      <c r="BA4" s="187"/>
      <c r="BB4" s="187"/>
      <c r="BC4" s="187"/>
      <c r="BD4" s="187"/>
      <c r="BE4" s="187"/>
      <c r="BF4" s="187"/>
      <c r="BG4" s="187"/>
      <c r="BH4" s="187"/>
      <c r="BI4" s="187"/>
      <c r="BJ4" s="187"/>
      <c r="BK4" s="187"/>
      <c r="BL4" s="187"/>
      <c r="BM4" s="187"/>
      <c r="BN4" s="187"/>
      <c r="BO4" s="187"/>
      <c r="BP4" s="187"/>
      <c r="BQ4" s="187"/>
      <c r="BR4" s="187"/>
      <c r="BS4" s="187"/>
      <c r="BT4" s="187"/>
      <c r="BU4" s="187"/>
      <c r="BV4" s="187"/>
      <c r="BW4" s="187"/>
      <c r="BX4" s="187"/>
      <c r="BY4" s="187"/>
      <c r="BZ4" s="187"/>
      <c r="CA4" s="187"/>
      <c r="CB4" s="187"/>
      <c r="CC4" s="187"/>
      <c r="CD4" s="187"/>
      <c r="CE4" s="187"/>
      <c r="CF4" s="187"/>
      <c r="CG4" s="187"/>
      <c r="CH4" s="187"/>
      <c r="CI4" s="187"/>
      <c r="CJ4" s="187"/>
      <c r="CK4" s="187"/>
      <c r="CL4" s="187"/>
      <c r="CM4" s="187"/>
      <c r="CN4" s="187"/>
      <c r="CO4" s="187"/>
      <c r="CP4" s="187"/>
      <c r="CQ4" s="187"/>
      <c r="CR4" s="187"/>
      <c r="CS4" s="187"/>
      <c r="CT4" s="187"/>
      <c r="CU4" s="187"/>
      <c r="CV4" s="187"/>
      <c r="CW4" s="187"/>
      <c r="CX4" s="187"/>
      <c r="CY4" s="187"/>
      <c r="CZ4" s="187"/>
      <c r="DA4" s="187"/>
      <c r="DB4" s="187"/>
      <c r="DC4" s="187"/>
      <c r="DD4" s="187"/>
    </row>
    <row r="5" spans="1:108" ht="12" customHeight="1">
      <c r="A5" s="146"/>
      <c r="B5" s="146" t="s">
        <v>75</v>
      </c>
      <c r="C5" s="146">
        <v>1</v>
      </c>
      <c r="D5" s="153" t="s">
        <v>76</v>
      </c>
      <c r="E5" s="153" t="s">
        <v>1596</v>
      </c>
      <c r="F5" s="157"/>
      <c r="G5" s="157"/>
      <c r="H5" s="157"/>
      <c r="I5" s="157"/>
      <c r="J5" s="157"/>
      <c r="K5" s="157"/>
      <c r="L5" s="157"/>
      <c r="M5" s="157"/>
      <c r="N5" s="157"/>
      <c r="O5" s="157"/>
      <c r="P5" s="137">
        <v>45474</v>
      </c>
      <c r="Q5" s="137">
        <v>45534</v>
      </c>
      <c r="R5" s="136"/>
      <c r="S5" s="149">
        <v>436</v>
      </c>
      <c r="T5" s="149">
        <v>170</v>
      </c>
      <c r="U5" s="149">
        <v>45</v>
      </c>
      <c r="V5" s="149">
        <v>24</v>
      </c>
      <c r="W5" s="148"/>
      <c r="X5" s="148"/>
      <c r="Y5" s="150">
        <v>0</v>
      </c>
      <c r="Z5" s="151">
        <v>0</v>
      </c>
      <c r="AA5" s="149"/>
      <c r="AB5" s="147"/>
      <c r="AC5" s="156"/>
      <c r="AD5" s="152">
        <v>0.38990825688073394</v>
      </c>
      <c r="AE5" s="193">
        <v>0.26605504587155965</v>
      </c>
      <c r="AF5" s="185"/>
      <c r="AG5" s="186"/>
      <c r="AH5" s="186" t="str">
        <f>"   " &amp; TEXT(AE5,"#0.00%") &amp; " "</f>
        <v xml:space="preserve">   26.61% </v>
      </c>
      <c r="AI5" s="186"/>
      <c r="AJ5" s="186"/>
      <c r="AK5" s="186"/>
      <c r="AL5" s="186"/>
      <c r="AM5" s="186"/>
      <c r="AN5" s="186" t="str">
        <f>"      " &amp; "기획" &amp; " " &amp; IF(P5="","",TEXT(P5,"M/D-")) &amp; IF(Q5="","",TEXT(Q5,"M/D")) &amp; " "</f>
        <v xml:space="preserve">      기획 7/1-8/30 </v>
      </c>
      <c r="AO5" s="186"/>
      <c r="AP5" s="186"/>
      <c r="AQ5" s="186"/>
    </row>
    <row r="6" spans="1:108" ht="12" customHeight="1" outlineLevel="1">
      <c r="A6" s="146"/>
      <c r="B6" s="146" t="s">
        <v>75</v>
      </c>
      <c r="C6" s="146">
        <v>2</v>
      </c>
      <c r="D6" s="153" t="s">
        <v>77</v>
      </c>
      <c r="E6" s="153"/>
      <c r="F6" s="157" t="s">
        <v>1558</v>
      </c>
      <c r="G6" s="157"/>
      <c r="H6" s="157"/>
      <c r="I6" s="157"/>
      <c r="J6" s="157"/>
      <c r="K6" s="157"/>
      <c r="L6" s="157"/>
      <c r="M6" s="157"/>
      <c r="N6" s="157"/>
      <c r="O6" s="157"/>
      <c r="P6" s="137">
        <v>45523</v>
      </c>
      <c r="Q6" s="137">
        <v>45527</v>
      </c>
      <c r="R6" s="136"/>
      <c r="S6" s="149">
        <v>10</v>
      </c>
      <c r="T6" s="149">
        <v>0</v>
      </c>
      <c r="U6" s="149">
        <v>5</v>
      </c>
      <c r="V6" s="149">
        <v>0</v>
      </c>
      <c r="W6" s="148"/>
      <c r="X6" s="148"/>
      <c r="Y6" s="150">
        <v>0</v>
      </c>
      <c r="Z6" s="151">
        <v>0</v>
      </c>
      <c r="AA6" s="149"/>
      <c r="AB6" s="147"/>
      <c r="AC6" s="156"/>
      <c r="AD6" s="152">
        <v>0</v>
      </c>
      <c r="AE6" s="209">
        <v>0</v>
      </c>
      <c r="AF6" s="185"/>
      <c r="AG6" s="186"/>
      <c r="AH6" s="186"/>
      <c r="AI6" s="186"/>
      <c r="AJ6" s="186"/>
      <c r="AK6" s="186"/>
      <c r="AL6" s="186"/>
      <c r="AM6" s="186" t="str">
        <f>" " &amp; TEXT(AE6,"#0.00%") &amp; " " &amp; "종합생활분석" &amp; " " &amp; IF(P6="","",TEXT(P6,"M/D-")) &amp; IF(Q6="","",TEXT(Q6,"M/D")) &amp; " "</f>
        <v xml:space="preserve"> 0.00% 종합생활분석 8/19-8/23 </v>
      </c>
      <c r="AN6" s="186"/>
      <c r="AO6" s="186"/>
      <c r="AP6" s="186"/>
      <c r="AQ6" s="186"/>
    </row>
    <row r="7" spans="1:108" ht="12" customHeight="1" outlineLevel="2">
      <c r="A7" s="146"/>
      <c r="B7" s="146"/>
      <c r="C7" s="146">
        <v>3</v>
      </c>
      <c r="D7" s="153" t="s">
        <v>78</v>
      </c>
      <c r="E7" s="153"/>
      <c r="F7" s="157"/>
      <c r="G7" s="157" t="s">
        <v>1555</v>
      </c>
      <c r="H7" s="157"/>
      <c r="I7" s="157"/>
      <c r="J7" s="157"/>
      <c r="K7" s="157"/>
      <c r="L7" s="157"/>
      <c r="M7" s="157"/>
      <c r="N7" s="157"/>
      <c r="O7" s="157"/>
      <c r="P7" s="208">
        <v>45523</v>
      </c>
      <c r="Q7" s="208">
        <v>45527</v>
      </c>
      <c r="R7" s="136"/>
      <c r="S7" s="149">
        <v>5</v>
      </c>
      <c r="T7" s="149">
        <v>0</v>
      </c>
      <c r="U7" s="149">
        <v>5</v>
      </c>
      <c r="V7" s="149">
        <v>0</v>
      </c>
      <c r="W7" s="148"/>
      <c r="X7" s="148"/>
      <c r="Y7" s="150"/>
      <c r="Z7" s="151">
        <v>0</v>
      </c>
      <c r="AA7" s="149"/>
      <c r="AB7" s="147" t="s">
        <v>1551</v>
      </c>
      <c r="AC7" s="156" t="s">
        <v>1570</v>
      </c>
      <c r="AD7" s="152">
        <v>0</v>
      </c>
      <c r="AE7" s="155">
        <v>0</v>
      </c>
      <c r="AF7" s="185"/>
      <c r="AG7" s="186"/>
      <c r="AH7" s="186"/>
      <c r="AI7" s="186"/>
      <c r="AJ7" s="186"/>
      <c r="AK7" s="186"/>
      <c r="AL7" s="186"/>
      <c r="AM7" s="186" t="str">
        <f>" " &amp; TEXT(AE7,"#0.00%") &amp; " " &amp; "리포트 형식" &amp; "(최현)" &amp; " " &amp; IF(P7="","",TEXT(P7,"M/D-")) &amp; IF(Q7="","",TEXT(Q7,"M/D")) &amp; " "</f>
        <v xml:space="preserve"> 0.00% 리포트 형식(최현) 8/19-8/23 </v>
      </c>
      <c r="AN7" s="186"/>
      <c r="AO7" s="186"/>
      <c r="AP7" s="186"/>
      <c r="AQ7" s="186"/>
    </row>
    <row r="8" spans="1:108" ht="12" customHeight="1" outlineLevel="2">
      <c r="A8" s="146"/>
      <c r="B8" s="146"/>
      <c r="C8" s="146">
        <v>3</v>
      </c>
      <c r="D8" s="153" t="s">
        <v>81</v>
      </c>
      <c r="E8" s="153"/>
      <c r="F8" s="157"/>
      <c r="G8" s="157" t="s">
        <v>1556</v>
      </c>
      <c r="H8" s="157"/>
      <c r="I8" s="157"/>
      <c r="J8" s="157"/>
      <c r="K8" s="157"/>
      <c r="L8" s="157"/>
      <c r="M8" s="157"/>
      <c r="N8" s="157"/>
      <c r="O8" s="157"/>
      <c r="P8" s="208">
        <v>45523</v>
      </c>
      <c r="Q8" s="208">
        <v>45527</v>
      </c>
      <c r="R8" s="136"/>
      <c r="S8" s="149">
        <v>5</v>
      </c>
      <c r="T8" s="149">
        <v>0</v>
      </c>
      <c r="U8" s="149">
        <v>5</v>
      </c>
      <c r="V8" s="149">
        <v>0</v>
      </c>
      <c r="W8" s="148"/>
      <c r="X8" s="148"/>
      <c r="Y8" s="150"/>
      <c r="Z8" s="151">
        <v>0</v>
      </c>
      <c r="AA8" s="149"/>
      <c r="AB8" s="147" t="s">
        <v>1551</v>
      </c>
      <c r="AC8" s="156" t="s">
        <v>1570</v>
      </c>
      <c r="AD8" s="152">
        <v>0</v>
      </c>
      <c r="AE8" s="155">
        <v>0</v>
      </c>
      <c r="AF8" s="185"/>
      <c r="AG8" s="186"/>
      <c r="AH8" s="186"/>
      <c r="AI8" s="186"/>
      <c r="AJ8" s="186"/>
      <c r="AK8" s="186"/>
      <c r="AL8" s="186"/>
      <c r="AM8" s="186" t="str">
        <f>" " &amp; TEXT(AE8,"#0.00%") &amp; " " &amp; "대시보드 (새창)" &amp; "(최현)" &amp; " " &amp; IF(P8="","",TEXT(P8,"M/D-")) &amp; IF(Q8="","",TEXT(Q8,"M/D")) &amp; " "</f>
        <v xml:space="preserve"> 0.00% 대시보드 (새창)(최현) 8/19-8/23 </v>
      </c>
      <c r="AN8" s="186"/>
      <c r="AO8" s="186"/>
      <c r="AP8" s="186"/>
      <c r="AQ8" s="186"/>
    </row>
    <row r="9" spans="1:108" ht="12" customHeight="1" outlineLevel="1">
      <c r="A9" s="146"/>
      <c r="B9" s="146" t="s">
        <v>75</v>
      </c>
      <c r="C9" s="146">
        <v>2</v>
      </c>
      <c r="D9" s="153" t="s">
        <v>1343</v>
      </c>
      <c r="E9" s="153"/>
      <c r="F9" s="157" t="s">
        <v>1552</v>
      </c>
      <c r="G9" s="157"/>
      <c r="H9" s="157"/>
      <c r="I9" s="157"/>
      <c r="J9" s="157"/>
      <c r="K9" s="157"/>
      <c r="L9" s="157"/>
      <c r="M9" s="157"/>
      <c r="N9" s="157"/>
      <c r="O9" s="157"/>
      <c r="P9" s="137">
        <v>45474</v>
      </c>
      <c r="Q9" s="137">
        <v>45527</v>
      </c>
      <c r="R9" s="136"/>
      <c r="S9" s="149">
        <v>153</v>
      </c>
      <c r="T9" s="149">
        <v>89</v>
      </c>
      <c r="U9" s="149">
        <v>40</v>
      </c>
      <c r="V9" s="149">
        <v>24</v>
      </c>
      <c r="W9" s="148"/>
      <c r="X9" s="148"/>
      <c r="Y9" s="150">
        <v>0</v>
      </c>
      <c r="Z9" s="151">
        <v>0</v>
      </c>
      <c r="AA9" s="149"/>
      <c r="AB9" s="147"/>
      <c r="AC9" s="156"/>
      <c r="AD9" s="152">
        <v>0.5816993464052288</v>
      </c>
      <c r="AE9" s="209">
        <v>0.5816993464052288</v>
      </c>
      <c r="AF9" s="185"/>
      <c r="AG9" s="186"/>
      <c r="AH9" s="186"/>
      <c r="AI9" s="186"/>
      <c r="AJ9" s="186" t="str">
        <f>"    " &amp; TEXT(AE9,"#0.00%") &amp; " " &amp; "GIS분석" &amp; " " &amp; IF(P9="","",TEXT(P9,"M/D-")) &amp; IF(Q9="","",TEXT(Q9,"M/D")) &amp; " "</f>
        <v xml:space="preserve">    58.17% GIS분석 7/1-8/23 </v>
      </c>
      <c r="AK9" s="186"/>
      <c r="AL9" s="186"/>
      <c r="AM9" s="186"/>
      <c r="AN9" s="186"/>
      <c r="AO9" s="186"/>
      <c r="AP9" s="186"/>
      <c r="AQ9" s="186"/>
    </row>
    <row r="10" spans="1:108" ht="12" customHeight="1" outlineLevel="2">
      <c r="A10" s="146"/>
      <c r="B10" s="146"/>
      <c r="C10" s="146">
        <v>3</v>
      </c>
      <c r="D10" s="153" t="s">
        <v>1342</v>
      </c>
      <c r="E10" s="153"/>
      <c r="F10" s="157"/>
      <c r="G10" s="157" t="s">
        <v>1574</v>
      </c>
      <c r="H10" s="157"/>
      <c r="I10" s="157"/>
      <c r="J10" s="157"/>
      <c r="K10" s="157"/>
      <c r="L10" s="157"/>
      <c r="M10" s="157"/>
      <c r="N10" s="157"/>
      <c r="O10" s="157"/>
      <c r="P10" s="208">
        <v>45474</v>
      </c>
      <c r="Q10" s="208">
        <v>45504</v>
      </c>
      <c r="R10" s="136"/>
      <c r="S10" s="149">
        <v>46</v>
      </c>
      <c r="T10" s="149">
        <v>46</v>
      </c>
      <c r="U10" s="149">
        <v>23</v>
      </c>
      <c r="V10" s="149">
        <v>23</v>
      </c>
      <c r="W10" s="148"/>
      <c r="X10" s="148"/>
      <c r="Y10" s="150"/>
      <c r="Z10" s="151">
        <v>0</v>
      </c>
      <c r="AA10" s="149"/>
      <c r="AB10" s="147" t="s">
        <v>1568</v>
      </c>
      <c r="AC10" s="156" t="s">
        <v>1570</v>
      </c>
      <c r="AD10" s="152">
        <v>1</v>
      </c>
      <c r="AE10" s="155">
        <v>1</v>
      </c>
      <c r="AF10" s="185"/>
      <c r="AG10" s="186"/>
      <c r="AH10" s="186"/>
      <c r="AI10" s="186"/>
      <c r="AJ10" s="186" t="str">
        <f>"    " &amp; TEXT(AE10,"#0.00%") &amp; " " &amp; "공통 레이아웃" &amp; "(박수진, 이선경)" &amp; " " &amp; IF(P10="","",TEXT(P10,"M/D-")) &amp; IF(Q10="","",TEXT(Q10,"M/D")) &amp; " "</f>
        <v xml:space="preserve">    100.00% 공통 레이아웃(박수진, 이선경) 7/1-7/31 </v>
      </c>
      <c r="AK10" s="186"/>
      <c r="AL10" s="186"/>
      <c r="AM10" s="186"/>
      <c r="AN10" s="186"/>
      <c r="AO10" s="186"/>
      <c r="AP10" s="186"/>
      <c r="AQ10" s="186"/>
    </row>
    <row r="11" spans="1:108" ht="12" customHeight="1" outlineLevel="2">
      <c r="A11" s="146"/>
      <c r="B11" s="146"/>
      <c r="C11" s="146">
        <v>3</v>
      </c>
      <c r="D11" s="153" t="s">
        <v>1344</v>
      </c>
      <c r="E11" s="153"/>
      <c r="F11" s="157"/>
      <c r="G11" s="157" t="s">
        <v>1553</v>
      </c>
      <c r="H11" s="157"/>
      <c r="I11" s="157"/>
      <c r="J11" s="157"/>
      <c r="K11" s="157"/>
      <c r="L11" s="157"/>
      <c r="M11" s="157"/>
      <c r="N11" s="157"/>
      <c r="O11" s="157"/>
      <c r="P11" s="208">
        <v>45499</v>
      </c>
      <c r="Q11" s="208">
        <v>45512</v>
      </c>
      <c r="R11" s="136"/>
      <c r="S11" s="149">
        <v>20</v>
      </c>
      <c r="T11" s="149">
        <v>10</v>
      </c>
      <c r="U11" s="149">
        <v>10</v>
      </c>
      <c r="V11" s="149">
        <v>5</v>
      </c>
      <c r="W11" s="148"/>
      <c r="X11" s="148"/>
      <c r="Y11" s="150"/>
      <c r="Z11" s="151">
        <v>0</v>
      </c>
      <c r="AA11" s="149"/>
      <c r="AB11" s="147" t="s">
        <v>1568</v>
      </c>
      <c r="AC11" s="156" t="s">
        <v>1570</v>
      </c>
      <c r="AD11" s="152">
        <v>0.5</v>
      </c>
      <c r="AE11" s="155">
        <v>0.5</v>
      </c>
      <c r="AF11" s="185"/>
      <c r="AG11" s="186"/>
      <c r="AH11" s="186"/>
      <c r="AI11" s="186"/>
      <c r="AJ11" s="186" t="str">
        <f>"     " &amp; TEXT(AE11,"#0.00%") &amp; " " &amp; "생활인구" &amp; "(박수진, 이선경)" &amp; " " &amp; IF(P11="","",TEXT(P11,"M/D-")) &amp; IF(Q11="","",TEXT(Q11,"M/D")) &amp; " "</f>
        <v xml:space="preserve">     50.00% 생활인구(박수진, 이선경) 7/26-8/8 </v>
      </c>
      <c r="AK11" s="186"/>
      <c r="AL11" s="186"/>
      <c r="AM11" s="186"/>
      <c r="AN11" s="186"/>
      <c r="AO11" s="186"/>
      <c r="AP11" s="186"/>
      <c r="AQ11" s="186"/>
    </row>
    <row r="12" spans="1:108" ht="12" customHeight="1" outlineLevel="2">
      <c r="A12" s="146"/>
      <c r="B12" s="146"/>
      <c r="C12" s="146">
        <v>3</v>
      </c>
      <c r="D12" s="153" t="s">
        <v>1516</v>
      </c>
      <c r="E12" s="153"/>
      <c r="F12" s="157"/>
      <c r="G12" s="157" t="s">
        <v>1554</v>
      </c>
      <c r="H12" s="157"/>
      <c r="I12" s="157"/>
      <c r="J12" s="157"/>
      <c r="K12" s="157"/>
      <c r="L12" s="157"/>
      <c r="M12" s="157"/>
      <c r="N12" s="157"/>
      <c r="O12" s="157"/>
      <c r="P12" s="208">
        <v>45513</v>
      </c>
      <c r="Q12" s="208">
        <v>45527</v>
      </c>
      <c r="R12" s="136"/>
      <c r="S12" s="149">
        <v>22</v>
      </c>
      <c r="T12" s="149">
        <v>0</v>
      </c>
      <c r="U12" s="149">
        <v>11</v>
      </c>
      <c r="V12" s="149">
        <v>0</v>
      </c>
      <c r="W12" s="148"/>
      <c r="X12" s="148"/>
      <c r="Y12" s="150"/>
      <c r="Z12" s="151">
        <v>0</v>
      </c>
      <c r="AA12" s="149"/>
      <c r="AB12" s="147" t="s">
        <v>1568</v>
      </c>
      <c r="AC12" s="156" t="s">
        <v>1570</v>
      </c>
      <c r="AD12" s="152">
        <v>0</v>
      </c>
      <c r="AE12" s="155">
        <v>0</v>
      </c>
      <c r="AF12" s="185"/>
      <c r="AG12" s="186"/>
      <c r="AH12" s="186"/>
      <c r="AI12" s="186"/>
      <c r="AJ12" s="186"/>
      <c r="AK12" s="186" t="str">
        <f>"     " &amp; TEXT(AE12,"#0.00%") &amp; " " &amp; "법제화생활인구" &amp; "(박수진, 이선경)" &amp; " " &amp; IF(P12="","",TEXT(P12,"M/D-")) &amp; IF(Q12="","",TEXT(Q12,"M/D")) &amp; " "</f>
        <v xml:space="preserve">     0.00% 법제화생활인구(박수진, 이선경) 8/9-8/23 </v>
      </c>
      <c r="AL12" s="186"/>
      <c r="AM12" s="186"/>
      <c r="AN12" s="186"/>
      <c r="AO12" s="186"/>
      <c r="AP12" s="186"/>
      <c r="AQ12" s="186"/>
    </row>
    <row r="13" spans="1:108" ht="12" customHeight="1" outlineLevel="2">
      <c r="A13" s="146"/>
      <c r="B13" s="146"/>
      <c r="C13" s="146">
        <v>3</v>
      </c>
      <c r="D13" s="153" t="s">
        <v>1580</v>
      </c>
      <c r="E13" s="153"/>
      <c r="F13" s="157"/>
      <c r="G13" s="157" t="s">
        <v>1557</v>
      </c>
      <c r="H13" s="157"/>
      <c r="I13" s="157"/>
      <c r="J13" s="157"/>
      <c r="K13" s="157"/>
      <c r="L13" s="157"/>
      <c r="M13" s="157"/>
      <c r="N13" s="157"/>
      <c r="O13" s="157"/>
      <c r="P13" s="208">
        <v>45513</v>
      </c>
      <c r="Q13" s="208">
        <v>45527</v>
      </c>
      <c r="R13" s="136"/>
      <c r="S13" s="149">
        <v>22</v>
      </c>
      <c r="T13" s="149">
        <v>0</v>
      </c>
      <c r="U13" s="149">
        <v>11</v>
      </c>
      <c r="V13" s="149">
        <v>0</v>
      </c>
      <c r="W13" s="148"/>
      <c r="X13" s="148"/>
      <c r="Y13" s="150"/>
      <c r="Z13" s="151">
        <v>0</v>
      </c>
      <c r="AA13" s="149"/>
      <c r="AB13" s="147" t="s">
        <v>1568</v>
      </c>
      <c r="AC13" s="156" t="s">
        <v>1570</v>
      </c>
      <c r="AD13" s="152">
        <v>0</v>
      </c>
      <c r="AE13" s="155">
        <v>0</v>
      </c>
      <c r="AF13" s="185"/>
      <c r="AG13" s="186"/>
      <c r="AH13" s="186"/>
      <c r="AI13" s="186"/>
      <c r="AJ13" s="186"/>
      <c r="AK13" s="186" t="str">
        <f>"     " &amp; TEXT(AE13,"#0.00%") &amp; " " &amp; "생활이동데이터" &amp; "(박수진, 이선경)" &amp; " " &amp; IF(P13="","",TEXT(P13,"M/D-")) &amp; IF(Q13="","",TEXT(Q13,"M/D")) &amp; " "</f>
        <v xml:space="preserve">     0.00% 생활이동데이터(박수진, 이선경) 8/9-8/23 </v>
      </c>
      <c r="AL13" s="186"/>
      <c r="AM13" s="186"/>
      <c r="AN13" s="186"/>
      <c r="AO13" s="186"/>
      <c r="AP13" s="186"/>
      <c r="AQ13" s="186"/>
    </row>
    <row r="14" spans="1:108" ht="12" customHeight="1" outlineLevel="2">
      <c r="A14" s="146"/>
      <c r="B14" s="146"/>
      <c r="C14" s="146">
        <v>3</v>
      </c>
      <c r="D14" s="153" t="s">
        <v>1581</v>
      </c>
      <c r="E14" s="153"/>
      <c r="F14" s="157"/>
      <c r="G14" s="157" t="s">
        <v>1579</v>
      </c>
      <c r="H14" s="157"/>
      <c r="I14" s="157"/>
      <c r="J14" s="157"/>
      <c r="K14" s="157"/>
      <c r="L14" s="157"/>
      <c r="M14" s="157"/>
      <c r="N14" s="157"/>
      <c r="O14" s="157"/>
      <c r="P14" s="208">
        <v>45499</v>
      </c>
      <c r="Q14" s="208">
        <v>45512</v>
      </c>
      <c r="R14" s="136"/>
      <c r="S14" s="149">
        <v>20</v>
      </c>
      <c r="T14" s="149">
        <v>10</v>
      </c>
      <c r="U14" s="149">
        <v>10</v>
      </c>
      <c r="V14" s="149">
        <v>5</v>
      </c>
      <c r="W14" s="148"/>
      <c r="X14" s="148"/>
      <c r="Y14" s="150"/>
      <c r="Z14" s="151">
        <v>0</v>
      </c>
      <c r="AA14" s="149"/>
      <c r="AB14" s="147" t="s">
        <v>1568</v>
      </c>
      <c r="AC14" s="156" t="s">
        <v>1570</v>
      </c>
      <c r="AD14" s="152">
        <v>0.5</v>
      </c>
      <c r="AE14" s="155">
        <v>0.5</v>
      </c>
      <c r="AF14" s="185"/>
      <c r="AG14" s="186"/>
      <c r="AH14" s="186"/>
      <c r="AI14" s="186"/>
      <c r="AJ14" s="186" t="str">
        <f>"     " &amp; TEXT(AE14,"#0.00%") &amp; " " &amp; "유동인구" &amp; "(박수진, 이선경)" &amp; " " &amp; IF(P14="","",TEXT(P14,"M/D-")) &amp; IF(Q14="","",TEXT(Q14,"M/D")) &amp; " "</f>
        <v xml:space="preserve">     50.00% 유동인구(박수진, 이선경) 7/26-8/8 </v>
      </c>
      <c r="AK14" s="186"/>
      <c r="AL14" s="186"/>
      <c r="AM14" s="186"/>
      <c r="AN14" s="186"/>
      <c r="AO14" s="186"/>
      <c r="AP14" s="186"/>
      <c r="AQ14" s="186"/>
    </row>
    <row r="15" spans="1:108" ht="12" customHeight="1" outlineLevel="2">
      <c r="A15" s="146"/>
      <c r="B15" s="146"/>
      <c r="C15" s="146">
        <v>3</v>
      </c>
      <c r="D15" s="153" t="s">
        <v>1582</v>
      </c>
      <c r="E15" s="153"/>
      <c r="F15" s="157"/>
      <c r="G15" s="157" t="s">
        <v>1575</v>
      </c>
      <c r="H15" s="157"/>
      <c r="I15" s="157"/>
      <c r="J15" s="157"/>
      <c r="K15" s="157"/>
      <c r="L15" s="157"/>
      <c r="M15" s="157"/>
      <c r="N15" s="157"/>
      <c r="O15" s="157"/>
      <c r="P15" s="208">
        <v>45474</v>
      </c>
      <c r="Q15" s="208">
        <v>45504</v>
      </c>
      <c r="R15" s="136"/>
      <c r="S15" s="149">
        <v>23</v>
      </c>
      <c r="T15" s="149">
        <v>23</v>
      </c>
      <c r="U15" s="149">
        <v>23</v>
      </c>
      <c r="V15" s="149">
        <v>23</v>
      </c>
      <c r="W15" s="148"/>
      <c r="X15" s="148"/>
      <c r="Y15" s="150"/>
      <c r="Z15" s="151">
        <v>0</v>
      </c>
      <c r="AA15" s="149"/>
      <c r="AB15" s="147" t="s">
        <v>1550</v>
      </c>
      <c r="AC15" s="156" t="s">
        <v>1570</v>
      </c>
      <c r="AD15" s="152">
        <v>1</v>
      </c>
      <c r="AE15" s="155">
        <v>1</v>
      </c>
      <c r="AF15" s="185"/>
      <c r="AG15" s="186"/>
      <c r="AH15" s="186"/>
      <c r="AI15" s="186"/>
      <c r="AJ15" s="186" t="str">
        <f>"    " &amp; TEXT(AE15,"#0.00%") &amp; " " &amp; "질문 별 시각화 설계" &amp; "(김승범)" &amp; " " &amp; IF(P15="","",TEXT(P15,"M/D-")) &amp; IF(Q15="","",TEXT(Q15,"M/D")) &amp; " "</f>
        <v xml:space="preserve">    100.00% 질문 별 시각화 설계(김승범) 7/1-7/31 </v>
      </c>
      <c r="AK15" s="186"/>
      <c r="AL15" s="186"/>
      <c r="AM15" s="186"/>
      <c r="AN15" s="186"/>
      <c r="AO15" s="186"/>
      <c r="AP15" s="186"/>
      <c r="AQ15" s="186"/>
    </row>
    <row r="16" spans="1:108" ht="12" customHeight="1" outlineLevel="1">
      <c r="A16" s="146"/>
      <c r="B16" s="146" t="s">
        <v>75</v>
      </c>
      <c r="C16" s="146">
        <v>2</v>
      </c>
      <c r="D16" s="153" t="s">
        <v>1346</v>
      </c>
      <c r="E16" s="153"/>
      <c r="F16" s="157" t="s">
        <v>1553</v>
      </c>
      <c r="G16" s="157"/>
      <c r="H16" s="157"/>
      <c r="I16" s="157"/>
      <c r="J16" s="157"/>
      <c r="K16" s="157"/>
      <c r="L16" s="157"/>
      <c r="M16" s="157"/>
      <c r="N16" s="157"/>
      <c r="O16" s="157"/>
      <c r="P16" s="137">
        <v>45492</v>
      </c>
      <c r="Q16" s="137">
        <v>45512</v>
      </c>
      <c r="R16" s="136"/>
      <c r="S16" s="149">
        <v>33</v>
      </c>
      <c r="T16" s="149">
        <v>23</v>
      </c>
      <c r="U16" s="149">
        <v>15</v>
      </c>
      <c r="V16" s="149">
        <v>10</v>
      </c>
      <c r="W16" s="148"/>
      <c r="X16" s="148"/>
      <c r="Y16" s="150">
        <v>0</v>
      </c>
      <c r="Z16" s="151">
        <v>0</v>
      </c>
      <c r="AA16" s="149"/>
      <c r="AB16" s="147"/>
      <c r="AC16" s="156"/>
      <c r="AD16" s="152">
        <v>0.69696969696969702</v>
      </c>
      <c r="AE16" s="193">
        <v>0.63636363636363635</v>
      </c>
      <c r="AF16" s="185"/>
      <c r="AG16" s="186"/>
      <c r="AH16" s="186"/>
      <c r="AI16" s="186"/>
      <c r="AJ16" s="186" t="str">
        <f>"    " &amp; TEXT(AE16,"#0.00%") &amp; " " &amp; "생활인구" &amp; " " &amp; IF(P16="","",TEXT(P16,"M/D-")) &amp; IF(Q16="","",TEXT(Q16,"M/D")) &amp; " "</f>
        <v xml:space="preserve">    63.64% 생활인구 7/19-8/8 </v>
      </c>
      <c r="AK16" s="186"/>
      <c r="AL16" s="186"/>
      <c r="AM16" s="186"/>
      <c r="AN16" s="186"/>
      <c r="AO16" s="186"/>
      <c r="AP16" s="186"/>
      <c r="AQ16" s="186"/>
    </row>
    <row r="17" spans="1:43" ht="12" customHeight="1" outlineLevel="2">
      <c r="A17" s="146"/>
      <c r="B17" s="146"/>
      <c r="C17" s="146">
        <v>3</v>
      </c>
      <c r="D17" s="153" t="s">
        <v>1345</v>
      </c>
      <c r="E17" s="153"/>
      <c r="F17" s="157"/>
      <c r="G17" s="157" t="s">
        <v>1583</v>
      </c>
      <c r="H17" s="157"/>
      <c r="I17" s="157"/>
      <c r="J17" s="157"/>
      <c r="K17" s="157"/>
      <c r="L17" s="157"/>
      <c r="M17" s="157"/>
      <c r="N17" s="157"/>
      <c r="O17" s="157"/>
      <c r="P17" s="208">
        <v>45505</v>
      </c>
      <c r="Q17" s="208">
        <v>45512</v>
      </c>
      <c r="R17" s="136"/>
      <c r="S17" s="149">
        <v>6</v>
      </c>
      <c r="T17" s="149">
        <v>1</v>
      </c>
      <c r="U17" s="149">
        <v>6</v>
      </c>
      <c r="V17" s="149">
        <v>1</v>
      </c>
      <c r="W17" s="148"/>
      <c r="X17" s="148"/>
      <c r="Y17" s="150"/>
      <c r="Z17" s="151">
        <v>0</v>
      </c>
      <c r="AA17" s="149"/>
      <c r="AB17" s="147" t="s">
        <v>1551</v>
      </c>
      <c r="AC17" s="156" t="s">
        <v>1570</v>
      </c>
      <c r="AD17" s="152">
        <v>0.16666666666666666</v>
      </c>
      <c r="AE17" s="192">
        <v>0</v>
      </c>
      <c r="AF17" s="185"/>
      <c r="AG17" s="186"/>
      <c r="AH17" s="186"/>
      <c r="AI17" s="186"/>
      <c r="AJ17" s="186" t="str">
        <f>"    " &amp; TEXT(AE17,"#0.00%") &amp; " " &amp; "종합생활인구분석" &amp; "(최현)" &amp; " " &amp; IF(P17="","",TEXT(P17,"M/D-")) &amp; IF(Q17="","",TEXT(Q17,"M/D")) &amp; " "</f>
        <v xml:space="preserve">    0.00% 종합생활인구분석(최현) 8/1-8/8 </v>
      </c>
      <c r="AK17" s="186"/>
      <c r="AL17" s="186"/>
      <c r="AM17" s="186"/>
      <c r="AN17" s="186"/>
      <c r="AO17" s="186"/>
      <c r="AP17" s="186"/>
      <c r="AQ17" s="186"/>
    </row>
    <row r="18" spans="1:43" ht="12" customHeight="1" outlineLevel="2">
      <c r="A18" s="146"/>
      <c r="B18" s="146"/>
      <c r="C18" s="146">
        <v>3</v>
      </c>
      <c r="D18" s="153" t="s">
        <v>1347</v>
      </c>
      <c r="E18" s="153"/>
      <c r="F18" s="157"/>
      <c r="G18" s="157" t="s">
        <v>1584</v>
      </c>
      <c r="H18" s="157"/>
      <c r="I18" s="157"/>
      <c r="J18" s="157"/>
      <c r="K18" s="157"/>
      <c r="L18" s="157"/>
      <c r="M18" s="157"/>
      <c r="N18" s="157"/>
      <c r="O18" s="157"/>
      <c r="P18" s="137">
        <v>45492</v>
      </c>
      <c r="Q18" s="208">
        <v>45502</v>
      </c>
      <c r="R18" s="136"/>
      <c r="S18" s="149">
        <v>7</v>
      </c>
      <c r="T18" s="149">
        <v>7</v>
      </c>
      <c r="U18" s="149">
        <v>7</v>
      </c>
      <c r="V18" s="149">
        <v>7</v>
      </c>
      <c r="W18" s="148"/>
      <c r="X18" s="148"/>
      <c r="Y18" s="150"/>
      <c r="Z18" s="151">
        <v>0</v>
      </c>
      <c r="AA18" s="149"/>
      <c r="AB18" s="147" t="s">
        <v>1551</v>
      </c>
      <c r="AC18" s="156" t="s">
        <v>1570</v>
      </c>
      <c r="AD18" s="152">
        <v>1</v>
      </c>
      <c r="AE18" s="155">
        <v>1</v>
      </c>
      <c r="AF18" s="185"/>
      <c r="AG18" s="186"/>
      <c r="AH18" s="186"/>
      <c r="AI18" s="186"/>
      <c r="AJ18" s="186" t="str">
        <f>"  " &amp; TEXT(AE18,"#0.00%") &amp; " " &amp; "생활인구현황" &amp; "(최현)" &amp; " " &amp; IF(P18="","",TEXT(P18,"M/D-")) &amp; IF(Q18="","",TEXT(Q18,"M/D")) &amp; " "</f>
        <v xml:space="preserve">  100.00% 생활인구현황(최현) 7/19-7/29 </v>
      </c>
      <c r="AK18" s="186"/>
      <c r="AL18" s="186"/>
      <c r="AM18" s="186"/>
      <c r="AN18" s="186"/>
      <c r="AO18" s="186"/>
      <c r="AP18" s="186"/>
      <c r="AQ18" s="186"/>
    </row>
    <row r="19" spans="1:43" ht="12" customHeight="1" outlineLevel="2">
      <c r="A19" s="146"/>
      <c r="B19" s="146"/>
      <c r="C19" s="146">
        <v>3</v>
      </c>
      <c r="D19" s="153" t="s">
        <v>1525</v>
      </c>
      <c r="E19" s="153"/>
      <c r="F19" s="157"/>
      <c r="G19" s="157" t="s">
        <v>1585</v>
      </c>
      <c r="H19" s="157"/>
      <c r="I19" s="157"/>
      <c r="J19" s="157"/>
      <c r="K19" s="157"/>
      <c r="L19" s="157"/>
      <c r="M19" s="157"/>
      <c r="N19" s="157"/>
      <c r="O19" s="157"/>
      <c r="P19" s="137">
        <v>45492</v>
      </c>
      <c r="Q19" s="208">
        <v>45502</v>
      </c>
      <c r="R19" s="136"/>
      <c r="S19" s="149">
        <v>7</v>
      </c>
      <c r="T19" s="149">
        <v>7</v>
      </c>
      <c r="U19" s="149">
        <v>7</v>
      </c>
      <c r="V19" s="149">
        <v>7</v>
      </c>
      <c r="W19" s="148"/>
      <c r="X19" s="148"/>
      <c r="Y19" s="150"/>
      <c r="Z19" s="151">
        <v>0</v>
      </c>
      <c r="AA19" s="149"/>
      <c r="AB19" s="147" t="s">
        <v>1551</v>
      </c>
      <c r="AC19" s="156" t="s">
        <v>1570</v>
      </c>
      <c r="AD19" s="152">
        <v>1</v>
      </c>
      <c r="AE19" s="155">
        <v>1</v>
      </c>
      <c r="AF19" s="185"/>
      <c r="AG19" s="186"/>
      <c r="AH19" s="186"/>
      <c r="AI19" s="186"/>
      <c r="AJ19" s="186" t="str">
        <f>"  " &amp; TEXT(AE19,"#0.00%") &amp; " " &amp; "생활패턴분석 (주야비분석)" &amp; "(최현)" &amp; " " &amp; IF(P19="","",TEXT(P19,"M/D-")) &amp; IF(Q19="","",TEXT(Q19,"M/D")) &amp; " "</f>
        <v xml:space="preserve">  100.00% 생활패턴분석 (주야비분석)(최현) 7/19-7/29 </v>
      </c>
      <c r="AK19" s="186"/>
      <c r="AL19" s="186"/>
      <c r="AM19" s="186"/>
      <c r="AN19" s="186"/>
      <c r="AO19" s="186"/>
      <c r="AP19" s="186"/>
      <c r="AQ19" s="186"/>
    </row>
    <row r="20" spans="1:43" ht="12" customHeight="1" outlineLevel="2">
      <c r="A20" s="146"/>
      <c r="B20" s="146"/>
      <c r="C20" s="146">
        <v>3</v>
      </c>
      <c r="D20" s="153" t="s">
        <v>1565</v>
      </c>
      <c r="E20" s="153"/>
      <c r="F20" s="157"/>
      <c r="G20" s="157" t="s">
        <v>1559</v>
      </c>
      <c r="H20" s="157"/>
      <c r="I20" s="157"/>
      <c r="J20" s="157"/>
      <c r="K20" s="157"/>
      <c r="L20" s="157"/>
      <c r="M20" s="157"/>
      <c r="N20" s="157"/>
      <c r="O20" s="157"/>
      <c r="P20" s="137">
        <v>45492</v>
      </c>
      <c r="Q20" s="208">
        <v>45502</v>
      </c>
      <c r="R20" s="136"/>
      <c r="S20" s="149">
        <v>7</v>
      </c>
      <c r="T20" s="149">
        <v>7</v>
      </c>
      <c r="U20" s="149">
        <v>7</v>
      </c>
      <c r="V20" s="149">
        <v>7</v>
      </c>
      <c r="W20" s="148"/>
      <c r="X20" s="148"/>
      <c r="Y20" s="150"/>
      <c r="Z20" s="151">
        <v>0</v>
      </c>
      <c r="AA20" s="149"/>
      <c r="AB20" s="147" t="s">
        <v>1551</v>
      </c>
      <c r="AC20" s="156" t="s">
        <v>1570</v>
      </c>
      <c r="AD20" s="152">
        <v>1</v>
      </c>
      <c r="AE20" s="155">
        <v>1</v>
      </c>
      <c r="AF20" s="185"/>
      <c r="AG20" s="186"/>
      <c r="AH20" s="186"/>
      <c r="AI20" s="186"/>
      <c r="AJ20" s="186" t="str">
        <f>"  " &amp; TEXT(AE20,"#0.00%") &amp; " " &amp; "주민등록/생활인구 비교분석" &amp; "(최현)" &amp; " " &amp; IF(P20="","",TEXT(P20,"M/D-")) &amp; IF(Q20="","",TEXT(Q20,"M/D")) &amp; " "</f>
        <v xml:space="preserve">  100.00% 주민등록/생활인구 비교분석(최현) 7/19-7/29 </v>
      </c>
      <c r="AK20" s="186"/>
      <c r="AL20" s="186"/>
      <c r="AM20" s="186"/>
      <c r="AN20" s="186"/>
      <c r="AO20" s="186"/>
      <c r="AP20" s="186"/>
      <c r="AQ20" s="186"/>
    </row>
    <row r="21" spans="1:43" ht="12" customHeight="1" outlineLevel="2">
      <c r="A21" s="146"/>
      <c r="B21" s="146"/>
      <c r="C21" s="146">
        <v>3</v>
      </c>
      <c r="D21" s="153" t="s">
        <v>1593</v>
      </c>
      <c r="E21" s="153"/>
      <c r="F21" s="157"/>
      <c r="G21" s="157" t="s">
        <v>1560</v>
      </c>
      <c r="H21" s="157"/>
      <c r="I21" s="157"/>
      <c r="J21" s="157"/>
      <c r="K21" s="157"/>
      <c r="L21" s="157"/>
      <c r="M21" s="157"/>
      <c r="N21" s="157"/>
      <c r="O21" s="157" t="s">
        <v>1636</v>
      </c>
      <c r="P21" s="208">
        <v>45505</v>
      </c>
      <c r="Q21" s="208">
        <v>45512</v>
      </c>
      <c r="R21" s="136"/>
      <c r="S21" s="149">
        <v>6</v>
      </c>
      <c r="T21" s="149">
        <v>1</v>
      </c>
      <c r="U21" s="149">
        <v>6</v>
      </c>
      <c r="V21" s="149">
        <v>1</v>
      </c>
      <c r="W21" s="148"/>
      <c r="X21" s="148"/>
      <c r="Y21" s="150"/>
      <c r="Z21" s="151">
        <v>0</v>
      </c>
      <c r="AA21" s="149"/>
      <c r="AB21" s="147" t="s">
        <v>1551</v>
      </c>
      <c r="AC21" s="156" t="s">
        <v>1570</v>
      </c>
      <c r="AD21" s="152">
        <v>0.16666666666666666</v>
      </c>
      <c r="AE21" s="192">
        <v>0</v>
      </c>
      <c r="AF21" s="185"/>
      <c r="AG21" s="186"/>
      <c r="AH21" s="186"/>
      <c r="AI21" s="186"/>
      <c r="AJ21" s="186" t="str">
        <f>"    " &amp; TEXT(AE21,"#0.00%") &amp; " " &amp; "지역랭킹" &amp; "(최현)" &amp; " " &amp; IF(P21="","",TEXT(P21,"M/D-")) &amp; IF(Q21="","",TEXT(Q21,"M/D")) &amp; " "</f>
        <v xml:space="preserve">    0.00% 지역랭킹(최현) 8/1-8/8 </v>
      </c>
      <c r="AK21" s="186"/>
      <c r="AL21" s="186"/>
      <c r="AM21" s="186"/>
      <c r="AN21" s="186"/>
      <c r="AO21" s="186"/>
      <c r="AP21" s="186"/>
      <c r="AQ21" s="186"/>
    </row>
    <row r="22" spans="1:43" ht="12" customHeight="1" outlineLevel="1">
      <c r="A22" s="146"/>
      <c r="B22" s="146" t="s">
        <v>75</v>
      </c>
      <c r="C22" s="146">
        <v>2</v>
      </c>
      <c r="D22" s="153" t="s">
        <v>1526</v>
      </c>
      <c r="E22" s="153"/>
      <c r="F22" s="157" t="s">
        <v>1589</v>
      </c>
      <c r="G22" s="157"/>
      <c r="H22" s="157"/>
      <c r="I22" s="157"/>
      <c r="J22" s="157"/>
      <c r="K22" s="157"/>
      <c r="L22" s="157"/>
      <c r="M22" s="157"/>
      <c r="N22" s="157"/>
      <c r="O22" s="157"/>
      <c r="P22" s="137">
        <v>45505</v>
      </c>
      <c r="Q22" s="137">
        <v>45512</v>
      </c>
      <c r="R22" s="136"/>
      <c r="S22" s="149">
        <v>24</v>
      </c>
      <c r="T22" s="149">
        <v>4</v>
      </c>
      <c r="U22" s="149">
        <v>6</v>
      </c>
      <c r="V22" s="149">
        <v>1</v>
      </c>
      <c r="W22" s="148"/>
      <c r="X22" s="148"/>
      <c r="Y22" s="150">
        <v>0</v>
      </c>
      <c r="Z22" s="151">
        <v>0</v>
      </c>
      <c r="AA22" s="149"/>
      <c r="AB22" s="147"/>
      <c r="AC22" s="156"/>
      <c r="AD22" s="152">
        <v>0.16666666666666666</v>
      </c>
      <c r="AE22" s="193">
        <v>0</v>
      </c>
      <c r="AF22" s="185"/>
      <c r="AG22" s="186"/>
      <c r="AH22" s="186"/>
      <c r="AI22" s="186"/>
      <c r="AJ22" s="186" t="str">
        <f>"    " &amp; TEXT(AE22,"#0.00%") &amp; " " &amp; "체류인구" &amp; " " &amp; IF(P22="","",TEXT(P22,"M/D-")) &amp; IF(Q22="","",TEXT(Q22,"M/D")) &amp; " "</f>
        <v xml:space="preserve">    0.00% 체류인구 8/1-8/8 </v>
      </c>
      <c r="AK22" s="186"/>
      <c r="AL22" s="186"/>
      <c r="AM22" s="186"/>
      <c r="AN22" s="186"/>
      <c r="AO22" s="186"/>
      <c r="AP22" s="186"/>
      <c r="AQ22" s="186"/>
    </row>
    <row r="23" spans="1:43" ht="12" customHeight="1" outlineLevel="2">
      <c r="A23" s="146"/>
      <c r="B23" s="146"/>
      <c r="C23" s="146">
        <v>3</v>
      </c>
      <c r="D23" s="153" t="s">
        <v>1527</v>
      </c>
      <c r="E23" s="153"/>
      <c r="F23" s="157"/>
      <c r="G23" s="157" t="s">
        <v>1590</v>
      </c>
      <c r="H23" s="157"/>
      <c r="I23" s="157"/>
      <c r="J23" s="157"/>
      <c r="K23" s="157"/>
      <c r="L23" s="157"/>
      <c r="M23" s="157"/>
      <c r="N23" s="157"/>
      <c r="O23" s="157"/>
      <c r="P23" s="208">
        <v>45505</v>
      </c>
      <c r="Q23" s="208">
        <v>45512</v>
      </c>
      <c r="R23" s="136"/>
      <c r="S23" s="149">
        <v>6</v>
      </c>
      <c r="T23" s="149">
        <v>1</v>
      </c>
      <c r="U23" s="149">
        <v>6</v>
      </c>
      <c r="V23" s="149">
        <v>1</v>
      </c>
      <c r="W23" s="148"/>
      <c r="X23" s="148"/>
      <c r="Y23" s="150"/>
      <c r="Z23" s="151">
        <v>0</v>
      </c>
      <c r="AA23" s="149"/>
      <c r="AB23" s="147" t="s">
        <v>1551</v>
      </c>
      <c r="AC23" s="156" t="s">
        <v>1570</v>
      </c>
      <c r="AD23" s="152">
        <v>0.16666666666666666</v>
      </c>
      <c r="AE23" s="192">
        <v>0</v>
      </c>
      <c r="AF23" s="185"/>
      <c r="AG23" s="186"/>
      <c r="AH23" s="186"/>
      <c r="AI23" s="186"/>
      <c r="AJ23" s="186" t="str">
        <f>"    " &amp; TEXT(AE23,"#0.00%") &amp; " " &amp; "종합 체류인구 분석" &amp; "(최현)" &amp; " " &amp; IF(P23="","",TEXT(P23,"M/D-")) &amp; IF(Q23="","",TEXT(Q23,"M/D")) &amp; " "</f>
        <v xml:space="preserve">    0.00% 종합 체류인구 분석(최현) 8/1-8/8 </v>
      </c>
      <c r="AK23" s="186"/>
      <c r="AL23" s="186"/>
      <c r="AM23" s="186"/>
      <c r="AN23" s="186"/>
      <c r="AO23" s="186"/>
      <c r="AP23" s="186"/>
      <c r="AQ23" s="186"/>
    </row>
    <row r="24" spans="1:43" ht="12" customHeight="1" outlineLevel="2">
      <c r="A24" s="146"/>
      <c r="B24" s="146"/>
      <c r="C24" s="146">
        <v>3</v>
      </c>
      <c r="D24" s="153" t="s">
        <v>1531</v>
      </c>
      <c r="E24" s="153"/>
      <c r="F24" s="157"/>
      <c r="G24" s="157" t="s">
        <v>1591</v>
      </c>
      <c r="H24" s="157"/>
      <c r="I24" s="157"/>
      <c r="J24" s="157"/>
      <c r="K24" s="157"/>
      <c r="L24" s="157"/>
      <c r="M24" s="157"/>
      <c r="N24" s="157"/>
      <c r="O24" s="157"/>
      <c r="P24" s="208">
        <v>45505</v>
      </c>
      <c r="Q24" s="208">
        <v>45512</v>
      </c>
      <c r="R24" s="136"/>
      <c r="S24" s="149">
        <v>6</v>
      </c>
      <c r="T24" s="149">
        <v>1</v>
      </c>
      <c r="U24" s="149">
        <v>6</v>
      </c>
      <c r="V24" s="149">
        <v>1</v>
      </c>
      <c r="W24" s="148"/>
      <c r="X24" s="148"/>
      <c r="Y24" s="150"/>
      <c r="Z24" s="151">
        <v>0</v>
      </c>
      <c r="AA24" s="149"/>
      <c r="AB24" s="147" t="s">
        <v>1551</v>
      </c>
      <c r="AC24" s="156" t="s">
        <v>1570</v>
      </c>
      <c r="AD24" s="152">
        <v>0.16666666666666666</v>
      </c>
      <c r="AE24" s="192">
        <v>0</v>
      </c>
      <c r="AF24" s="185"/>
      <c r="AG24" s="186"/>
      <c r="AH24" s="186"/>
      <c r="AI24" s="186"/>
      <c r="AJ24" s="186" t="str">
        <f>"    " &amp; TEXT(AE24,"#0.00%") &amp; " " &amp; "법제화생활인구 분석(가칭)" &amp; "(최현)" &amp; " " &amp; IF(P24="","",TEXT(P24,"M/D-")) &amp; IF(Q24="","",TEXT(Q24,"M/D")) &amp; " "</f>
        <v xml:space="preserve">    0.00% 법제화생활인구 분석(가칭)(최현) 8/1-8/8 </v>
      </c>
      <c r="AK24" s="186"/>
      <c r="AL24" s="186"/>
      <c r="AM24" s="186"/>
      <c r="AN24" s="186"/>
      <c r="AO24" s="186"/>
      <c r="AP24" s="186"/>
      <c r="AQ24" s="186"/>
    </row>
    <row r="25" spans="1:43" ht="12" customHeight="1" outlineLevel="2">
      <c r="A25" s="146"/>
      <c r="B25" s="146"/>
      <c r="C25" s="146">
        <v>3</v>
      </c>
      <c r="D25" s="153" t="s">
        <v>1535</v>
      </c>
      <c r="E25" s="153"/>
      <c r="F25" s="157"/>
      <c r="G25" s="157" t="s">
        <v>1592</v>
      </c>
      <c r="H25" s="157"/>
      <c r="I25" s="157"/>
      <c r="J25" s="157"/>
      <c r="K25" s="157"/>
      <c r="L25" s="157"/>
      <c r="M25" s="157"/>
      <c r="N25" s="157"/>
      <c r="O25" s="157"/>
      <c r="P25" s="208">
        <v>45505</v>
      </c>
      <c r="Q25" s="208">
        <v>45512</v>
      </c>
      <c r="R25" s="136"/>
      <c r="S25" s="149">
        <v>6</v>
      </c>
      <c r="T25" s="149">
        <v>1</v>
      </c>
      <c r="U25" s="149">
        <v>6</v>
      </c>
      <c r="V25" s="149">
        <v>1</v>
      </c>
      <c r="W25" s="148"/>
      <c r="X25" s="148"/>
      <c r="Y25" s="150"/>
      <c r="Z25" s="151">
        <v>0</v>
      </c>
      <c r="AA25" s="149"/>
      <c r="AB25" s="147" t="s">
        <v>1551</v>
      </c>
      <c r="AC25" s="156" t="s">
        <v>1570</v>
      </c>
      <c r="AD25" s="152">
        <v>0.16666666666666666</v>
      </c>
      <c r="AE25" s="192">
        <v>0</v>
      </c>
      <c r="AF25" s="185"/>
      <c r="AG25" s="186"/>
      <c r="AH25" s="186"/>
      <c r="AI25" s="186"/>
      <c r="AJ25" s="186" t="str">
        <f>"    " &amp; TEXT(AE25,"#0.00%") &amp; " " &amp; "시간별 체류인구 분석" &amp; "(최현)" &amp; " " &amp; IF(P25="","",TEXT(P25,"M/D-")) &amp; IF(Q25="","",TEXT(Q25,"M/D")) &amp; " "</f>
        <v xml:space="preserve">    0.00% 시간별 체류인구 분석(최현) 8/1-8/8 </v>
      </c>
      <c r="AK25" s="186"/>
      <c r="AL25" s="186"/>
      <c r="AM25" s="186"/>
      <c r="AN25" s="186"/>
      <c r="AO25" s="186"/>
      <c r="AP25" s="186"/>
      <c r="AQ25" s="186"/>
    </row>
    <row r="26" spans="1:43" ht="12" customHeight="1" outlineLevel="2">
      <c r="A26" s="146"/>
      <c r="B26" s="146"/>
      <c r="C26" s="146">
        <v>3</v>
      </c>
      <c r="D26" s="153" t="s">
        <v>1594</v>
      </c>
      <c r="E26" s="153"/>
      <c r="F26" s="157"/>
      <c r="G26" s="157" t="s">
        <v>1560</v>
      </c>
      <c r="H26" s="157"/>
      <c r="I26" s="157"/>
      <c r="J26" s="157"/>
      <c r="K26" s="157"/>
      <c r="L26" s="157"/>
      <c r="M26" s="157"/>
      <c r="N26" s="157"/>
      <c r="O26" s="157" t="s">
        <v>1636</v>
      </c>
      <c r="P26" s="208">
        <v>45505</v>
      </c>
      <c r="Q26" s="208">
        <v>45512</v>
      </c>
      <c r="R26" s="136"/>
      <c r="S26" s="149">
        <v>6</v>
      </c>
      <c r="T26" s="149">
        <v>1</v>
      </c>
      <c r="U26" s="149">
        <v>6</v>
      </c>
      <c r="V26" s="149">
        <v>1</v>
      </c>
      <c r="W26" s="148"/>
      <c r="X26" s="148"/>
      <c r="Y26" s="150"/>
      <c r="Z26" s="151">
        <v>0</v>
      </c>
      <c r="AA26" s="149"/>
      <c r="AB26" s="147" t="s">
        <v>1551</v>
      </c>
      <c r="AC26" s="156" t="s">
        <v>1570</v>
      </c>
      <c r="AD26" s="152">
        <v>0.16666666666666666</v>
      </c>
      <c r="AE26" s="192">
        <v>0</v>
      </c>
      <c r="AF26" s="185"/>
      <c r="AG26" s="186"/>
      <c r="AH26" s="186"/>
      <c r="AI26" s="186"/>
      <c r="AJ26" s="186" t="str">
        <f>"    " &amp; TEXT(AE26,"#0.00%") &amp; " " &amp; "지역랭킹" &amp; "(최현)" &amp; " " &amp; IF(P26="","",TEXT(P26,"M/D-")) &amp; IF(Q26="","",TEXT(Q26,"M/D")) &amp; " "</f>
        <v xml:space="preserve">    0.00% 지역랭킹(최현) 8/1-8/8 </v>
      </c>
      <c r="AK26" s="186"/>
      <c r="AL26" s="186"/>
      <c r="AM26" s="186"/>
      <c r="AN26" s="186"/>
      <c r="AO26" s="186"/>
      <c r="AP26" s="186"/>
      <c r="AQ26" s="186"/>
    </row>
    <row r="27" spans="1:43" ht="12" customHeight="1" outlineLevel="1">
      <c r="A27" s="146"/>
      <c r="B27" s="146" t="s">
        <v>75</v>
      </c>
      <c r="C27" s="146">
        <v>2</v>
      </c>
      <c r="D27" s="153" t="s">
        <v>1536</v>
      </c>
      <c r="E27" s="153"/>
      <c r="F27" s="157" t="s">
        <v>1557</v>
      </c>
      <c r="G27" s="157"/>
      <c r="H27" s="157"/>
      <c r="I27" s="157"/>
      <c r="J27" s="157"/>
      <c r="K27" s="157"/>
      <c r="L27" s="157"/>
      <c r="M27" s="157"/>
      <c r="N27" s="157"/>
      <c r="O27" s="157"/>
      <c r="P27" s="137">
        <v>45516</v>
      </c>
      <c r="Q27" s="137">
        <v>45520</v>
      </c>
      <c r="R27" s="136"/>
      <c r="S27" s="149">
        <v>25</v>
      </c>
      <c r="T27" s="149">
        <v>0</v>
      </c>
      <c r="U27" s="149">
        <v>5</v>
      </c>
      <c r="V27" s="149">
        <v>0</v>
      </c>
      <c r="W27" s="148"/>
      <c r="X27" s="148"/>
      <c r="Y27" s="150">
        <v>0</v>
      </c>
      <c r="Z27" s="151">
        <v>0</v>
      </c>
      <c r="AA27" s="149"/>
      <c r="AB27" s="147"/>
      <c r="AC27" s="156"/>
      <c r="AD27" s="152">
        <v>0</v>
      </c>
      <c r="AE27" s="209">
        <v>0</v>
      </c>
      <c r="AF27" s="185"/>
      <c r="AG27" s="186"/>
      <c r="AH27" s="186"/>
      <c r="AI27" s="186"/>
      <c r="AJ27" s="186"/>
      <c r="AK27" s="186"/>
      <c r="AL27" s="186" t="str">
        <f>" " &amp; TEXT(AE27,"#0.00%") &amp; " " &amp; "생활이동데이터" &amp; " " &amp; IF(P27="","",TEXT(P27,"M/D-")) &amp; IF(Q27="","",TEXT(Q27,"M/D")) &amp; " "</f>
        <v xml:space="preserve"> 0.00% 생활이동데이터 8/12-8/16 </v>
      </c>
      <c r="AM27" s="186"/>
      <c r="AN27" s="186"/>
      <c r="AO27" s="186"/>
      <c r="AP27" s="186"/>
      <c r="AQ27" s="186"/>
    </row>
    <row r="28" spans="1:43" ht="12" customHeight="1" outlineLevel="2">
      <c r="A28" s="146"/>
      <c r="B28" s="146"/>
      <c r="C28" s="146">
        <v>3</v>
      </c>
      <c r="D28" s="153" t="s">
        <v>1537</v>
      </c>
      <c r="E28" s="153"/>
      <c r="F28" s="157"/>
      <c r="G28" s="157" t="s">
        <v>1586</v>
      </c>
      <c r="H28" s="157"/>
      <c r="I28" s="157"/>
      <c r="J28" s="157"/>
      <c r="K28" s="157"/>
      <c r="L28" s="157"/>
      <c r="M28" s="157"/>
      <c r="N28" s="157"/>
      <c r="O28" s="157"/>
      <c r="P28" s="208">
        <v>45516</v>
      </c>
      <c r="Q28" s="208">
        <v>45520</v>
      </c>
      <c r="R28" s="136"/>
      <c r="S28" s="149">
        <v>5</v>
      </c>
      <c r="T28" s="149">
        <v>0</v>
      </c>
      <c r="U28" s="149">
        <v>5</v>
      </c>
      <c r="V28" s="149">
        <v>0</v>
      </c>
      <c r="W28" s="148"/>
      <c r="X28" s="148"/>
      <c r="Y28" s="150"/>
      <c r="Z28" s="151">
        <v>0</v>
      </c>
      <c r="AA28" s="149"/>
      <c r="AB28" s="147" t="s">
        <v>1551</v>
      </c>
      <c r="AC28" s="156" t="s">
        <v>1570</v>
      </c>
      <c r="AD28" s="152">
        <v>0</v>
      </c>
      <c r="AE28" s="155">
        <v>0</v>
      </c>
      <c r="AF28" s="185"/>
      <c r="AG28" s="186"/>
      <c r="AH28" s="186"/>
      <c r="AI28" s="186"/>
      <c r="AJ28" s="186"/>
      <c r="AK28" s="186"/>
      <c r="AL28" s="186" t="str">
        <f>" " &amp; TEXT(AE28,"#0.00%") &amp; " " &amp; "종합생활이동분석" &amp; "(최현)" &amp; " " &amp; IF(P28="","",TEXT(P28,"M/D-")) &amp; IF(Q28="","",TEXT(Q28,"M/D")) &amp; " "</f>
        <v xml:space="preserve"> 0.00% 종합생활이동분석(최현) 8/12-8/16 </v>
      </c>
      <c r="AM28" s="186"/>
      <c r="AN28" s="186"/>
      <c r="AO28" s="186"/>
      <c r="AP28" s="186"/>
      <c r="AQ28" s="186"/>
    </row>
    <row r="29" spans="1:43" ht="12" customHeight="1" outlineLevel="2">
      <c r="A29" s="146"/>
      <c r="B29" s="146"/>
      <c r="C29" s="146">
        <v>3</v>
      </c>
      <c r="D29" s="153" t="s">
        <v>1542</v>
      </c>
      <c r="E29" s="153"/>
      <c r="F29" s="157"/>
      <c r="G29" s="157" t="s">
        <v>1561</v>
      </c>
      <c r="H29" s="157"/>
      <c r="I29" s="157"/>
      <c r="J29" s="157"/>
      <c r="K29" s="157"/>
      <c r="L29" s="157"/>
      <c r="M29" s="157"/>
      <c r="N29" s="157"/>
      <c r="O29" s="157"/>
      <c r="P29" s="208">
        <v>45516</v>
      </c>
      <c r="Q29" s="208">
        <v>45520</v>
      </c>
      <c r="R29" s="136"/>
      <c r="S29" s="149">
        <v>5</v>
      </c>
      <c r="T29" s="149">
        <v>0</v>
      </c>
      <c r="U29" s="149">
        <v>5</v>
      </c>
      <c r="V29" s="149">
        <v>0</v>
      </c>
      <c r="W29" s="148"/>
      <c r="X29" s="148"/>
      <c r="Y29" s="150"/>
      <c r="Z29" s="151">
        <v>0</v>
      </c>
      <c r="AA29" s="149"/>
      <c r="AB29" s="147" t="s">
        <v>1551</v>
      </c>
      <c r="AC29" s="156" t="s">
        <v>1570</v>
      </c>
      <c r="AD29" s="152">
        <v>0</v>
      </c>
      <c r="AE29" s="155">
        <v>0</v>
      </c>
      <c r="AF29" s="185"/>
      <c r="AG29" s="186"/>
      <c r="AH29" s="186"/>
      <c r="AI29" s="186"/>
      <c r="AJ29" s="186"/>
      <c r="AK29" s="186"/>
      <c r="AL29" s="186" t="str">
        <f>" " &amp; TEXT(AE29,"#0.00%") &amp; " " &amp; "생활이동현황(유입/유출)" &amp; "(최현)" &amp; " " &amp; IF(P29="","",TEXT(P29,"M/D-")) &amp; IF(Q29="","",TEXT(Q29,"M/D")) &amp; " "</f>
        <v xml:space="preserve"> 0.00% 생활이동현황(유입/유출)(최현) 8/12-8/16 </v>
      </c>
      <c r="AM29" s="186"/>
      <c r="AN29" s="186"/>
      <c r="AO29" s="186"/>
      <c r="AP29" s="186"/>
      <c r="AQ29" s="186"/>
    </row>
    <row r="30" spans="1:43" ht="12" customHeight="1" outlineLevel="2">
      <c r="A30" s="146"/>
      <c r="B30" s="146"/>
      <c r="C30" s="146">
        <v>3</v>
      </c>
      <c r="D30" s="153" t="s">
        <v>1546</v>
      </c>
      <c r="E30" s="153"/>
      <c r="F30" s="157"/>
      <c r="G30" s="157" t="s">
        <v>1562</v>
      </c>
      <c r="H30" s="157"/>
      <c r="I30" s="157"/>
      <c r="J30" s="157"/>
      <c r="K30" s="157"/>
      <c r="L30" s="157"/>
      <c r="M30" s="157"/>
      <c r="N30" s="157"/>
      <c r="O30" s="157"/>
      <c r="P30" s="208">
        <v>45516</v>
      </c>
      <c r="Q30" s="208">
        <v>45520</v>
      </c>
      <c r="R30" s="136"/>
      <c r="S30" s="149">
        <v>5</v>
      </c>
      <c r="T30" s="149">
        <v>0</v>
      </c>
      <c r="U30" s="149">
        <v>5</v>
      </c>
      <c r="V30" s="149">
        <v>0</v>
      </c>
      <c r="W30" s="148"/>
      <c r="X30" s="148"/>
      <c r="Y30" s="150"/>
      <c r="Z30" s="151">
        <v>0</v>
      </c>
      <c r="AA30" s="149"/>
      <c r="AB30" s="147" t="s">
        <v>1551</v>
      </c>
      <c r="AC30" s="156" t="s">
        <v>1570</v>
      </c>
      <c r="AD30" s="152">
        <v>0</v>
      </c>
      <c r="AE30" s="155">
        <v>0</v>
      </c>
      <c r="AF30" s="185"/>
      <c r="AG30" s="186"/>
      <c r="AH30" s="186"/>
      <c r="AI30" s="186"/>
      <c r="AJ30" s="186"/>
      <c r="AK30" s="186"/>
      <c r="AL30" s="186" t="str">
        <f>" " &amp; TEXT(AE30,"#0.00%") &amp; " " &amp; "이동목적분석" &amp; "(최현)" &amp; " " &amp; IF(P30="","",TEXT(P30,"M/D-")) &amp; IF(Q30="","",TEXT(Q30,"M/D")) &amp; " "</f>
        <v xml:space="preserve"> 0.00% 이동목적분석(최현) 8/12-8/16 </v>
      </c>
      <c r="AM30" s="186"/>
      <c r="AN30" s="186"/>
      <c r="AO30" s="186"/>
      <c r="AP30" s="186"/>
      <c r="AQ30" s="186"/>
    </row>
    <row r="31" spans="1:43" ht="12" customHeight="1" outlineLevel="2">
      <c r="A31" s="146"/>
      <c r="B31" s="146"/>
      <c r="C31" s="146">
        <v>3</v>
      </c>
      <c r="D31" s="153" t="s">
        <v>1566</v>
      </c>
      <c r="E31" s="153"/>
      <c r="F31" s="157"/>
      <c r="G31" s="157" t="s">
        <v>1563</v>
      </c>
      <c r="H31" s="157"/>
      <c r="I31" s="157"/>
      <c r="J31" s="157"/>
      <c r="K31" s="157"/>
      <c r="L31" s="157"/>
      <c r="M31" s="157"/>
      <c r="N31" s="157"/>
      <c r="O31" s="157"/>
      <c r="P31" s="208">
        <v>45516</v>
      </c>
      <c r="Q31" s="208">
        <v>45520</v>
      </c>
      <c r="R31" s="136"/>
      <c r="S31" s="149">
        <v>5</v>
      </c>
      <c r="T31" s="149">
        <v>0</v>
      </c>
      <c r="U31" s="149">
        <v>5</v>
      </c>
      <c r="V31" s="149">
        <v>0</v>
      </c>
      <c r="W31" s="148"/>
      <c r="X31" s="148"/>
      <c r="Y31" s="150"/>
      <c r="Z31" s="151">
        <v>0</v>
      </c>
      <c r="AA31" s="149"/>
      <c r="AB31" s="147" t="s">
        <v>1551</v>
      </c>
      <c r="AC31" s="156" t="s">
        <v>1570</v>
      </c>
      <c r="AD31" s="152">
        <v>0</v>
      </c>
      <c r="AE31" s="155">
        <v>0</v>
      </c>
      <c r="AF31" s="185"/>
      <c r="AG31" s="186"/>
      <c r="AH31" s="186"/>
      <c r="AI31" s="186"/>
      <c r="AJ31" s="186"/>
      <c r="AK31" s="186"/>
      <c r="AL31" s="186" t="str">
        <f>" " &amp; TEXT(AE31,"#0.00%") &amp; " " &amp; "이동수단분석" &amp; "(최현)" &amp; " " &amp; IF(P31="","",TEXT(P31,"M/D-")) &amp; IF(Q31="","",TEXT(Q31,"M/D")) &amp; " "</f>
        <v xml:space="preserve"> 0.00% 이동수단분석(최현) 8/12-8/16 </v>
      </c>
      <c r="AM31" s="186"/>
      <c r="AN31" s="186"/>
      <c r="AO31" s="186"/>
      <c r="AP31" s="186"/>
      <c r="AQ31" s="186"/>
    </row>
    <row r="32" spans="1:43" ht="12" customHeight="1" outlineLevel="2">
      <c r="A32" s="146"/>
      <c r="B32" s="146"/>
      <c r="C32" s="146">
        <v>3</v>
      </c>
      <c r="D32" s="153" t="s">
        <v>1595</v>
      </c>
      <c r="E32" s="153"/>
      <c r="F32" s="157"/>
      <c r="G32" s="157" t="s">
        <v>1560</v>
      </c>
      <c r="H32" s="157"/>
      <c r="I32" s="157"/>
      <c r="J32" s="157"/>
      <c r="K32" s="157"/>
      <c r="L32" s="157"/>
      <c r="M32" s="157"/>
      <c r="N32" s="157"/>
      <c r="O32" s="157" t="s">
        <v>1636</v>
      </c>
      <c r="P32" s="208">
        <v>45516</v>
      </c>
      <c r="Q32" s="208">
        <v>45520</v>
      </c>
      <c r="R32" s="136"/>
      <c r="S32" s="149">
        <v>5</v>
      </c>
      <c r="T32" s="149">
        <v>0</v>
      </c>
      <c r="U32" s="149">
        <v>5</v>
      </c>
      <c r="V32" s="149">
        <v>0</v>
      </c>
      <c r="W32" s="148"/>
      <c r="X32" s="148"/>
      <c r="Y32" s="150"/>
      <c r="Z32" s="151">
        <v>0</v>
      </c>
      <c r="AA32" s="149"/>
      <c r="AB32" s="147" t="s">
        <v>1551</v>
      </c>
      <c r="AC32" s="156"/>
      <c r="AD32" s="152">
        <v>0</v>
      </c>
      <c r="AE32" s="155">
        <v>0</v>
      </c>
      <c r="AF32" s="185"/>
      <c r="AG32" s="186"/>
      <c r="AH32" s="186"/>
      <c r="AI32" s="186"/>
      <c r="AJ32" s="186"/>
      <c r="AK32" s="186"/>
      <c r="AL32" s="186" t="str">
        <f>" " &amp; TEXT(AE32,"#0.00%") &amp; " " &amp; "지역랭킹" &amp; "(최현)" &amp; " " &amp; IF(P32="","",TEXT(P32,"M/D-")) &amp; IF(Q32="","",TEXT(Q32,"M/D")) &amp; " "</f>
        <v xml:space="preserve"> 0.00% 지역랭킹(최현) 8/12-8/16 </v>
      </c>
      <c r="AM32" s="186"/>
      <c r="AN32" s="186"/>
      <c r="AO32" s="186"/>
      <c r="AP32" s="186"/>
      <c r="AQ32" s="186"/>
    </row>
    <row r="33" spans="1:43" ht="12" customHeight="1" outlineLevel="1">
      <c r="A33" s="146"/>
      <c r="B33" s="146" t="s">
        <v>75</v>
      </c>
      <c r="C33" s="146">
        <v>2</v>
      </c>
      <c r="D33" s="153" t="s">
        <v>1567</v>
      </c>
      <c r="E33" s="153"/>
      <c r="F33" s="157" t="s">
        <v>1597</v>
      </c>
      <c r="G33" s="157"/>
      <c r="H33" s="157"/>
      <c r="I33" s="157"/>
      <c r="J33" s="157"/>
      <c r="K33" s="157"/>
      <c r="L33" s="157"/>
      <c r="M33" s="157"/>
      <c r="N33" s="157"/>
      <c r="O33" s="157"/>
      <c r="P33" s="208">
        <v>45523</v>
      </c>
      <c r="Q33" s="208">
        <v>45534</v>
      </c>
      <c r="R33" s="136"/>
      <c r="S33" s="149">
        <v>11</v>
      </c>
      <c r="T33" s="149">
        <v>0</v>
      </c>
      <c r="U33" s="149">
        <v>10</v>
      </c>
      <c r="V33" s="149">
        <v>0</v>
      </c>
      <c r="W33" s="148"/>
      <c r="X33" s="148"/>
      <c r="Y33" s="150">
        <v>0</v>
      </c>
      <c r="Z33" s="151">
        <v>0</v>
      </c>
      <c r="AA33" s="149"/>
      <c r="AB33" s="147"/>
      <c r="AC33" s="156"/>
      <c r="AD33" s="152">
        <v>0</v>
      </c>
      <c r="AE33" s="209">
        <v>0</v>
      </c>
      <c r="AF33" s="185"/>
      <c r="AG33" s="186"/>
      <c r="AH33" s="186"/>
      <c r="AI33" s="186"/>
      <c r="AJ33" s="186"/>
      <c r="AK33" s="186"/>
      <c r="AL33" s="186"/>
      <c r="AM33" s="186" t="str">
        <f>" " &amp; TEXT(AE33,"#0.00%") &amp; " " &amp; "기타" &amp; " " &amp; IF(P33="","",TEXT(P33,"M/D-")) &amp; IF(Q33="","",TEXT(Q33,"M/D")) &amp; " "</f>
        <v xml:space="preserve"> 0.00% 기타 8/19-8/30 </v>
      </c>
      <c r="AN33" s="186"/>
      <c r="AO33" s="186"/>
      <c r="AP33" s="186"/>
      <c r="AQ33" s="186"/>
    </row>
    <row r="34" spans="1:43" ht="12" customHeight="1" outlineLevel="2">
      <c r="A34" s="146"/>
      <c r="B34" s="146"/>
      <c r="C34" s="146">
        <v>3</v>
      </c>
      <c r="D34" s="153" t="s">
        <v>1601</v>
      </c>
      <c r="E34" s="153"/>
      <c r="F34" s="157"/>
      <c r="G34" s="157" t="s">
        <v>1564</v>
      </c>
      <c r="H34" s="157"/>
      <c r="I34" s="157"/>
      <c r="J34" s="157"/>
      <c r="K34" s="157"/>
      <c r="L34" s="157"/>
      <c r="M34" s="157"/>
      <c r="N34" s="157"/>
      <c r="O34" s="157"/>
      <c r="P34" s="208">
        <v>45523</v>
      </c>
      <c r="Q34" s="208">
        <v>45527</v>
      </c>
      <c r="R34" s="136"/>
      <c r="S34" s="149">
        <v>5</v>
      </c>
      <c r="T34" s="149">
        <v>0</v>
      </c>
      <c r="U34" s="149">
        <v>5</v>
      </c>
      <c r="V34" s="149">
        <v>0</v>
      </c>
      <c r="W34" s="148"/>
      <c r="X34" s="148"/>
      <c r="Y34" s="150"/>
      <c r="Z34" s="151">
        <v>0</v>
      </c>
      <c r="AA34" s="149"/>
      <c r="AB34" s="147" t="s">
        <v>1551</v>
      </c>
      <c r="AC34" s="156" t="s">
        <v>1570</v>
      </c>
      <c r="AD34" s="152">
        <v>0</v>
      </c>
      <c r="AE34" s="155">
        <v>0</v>
      </c>
      <c r="AF34" s="185"/>
      <c r="AG34" s="186"/>
      <c r="AH34" s="186"/>
      <c r="AI34" s="186"/>
      <c r="AJ34" s="186"/>
      <c r="AK34" s="186"/>
      <c r="AL34" s="186"/>
      <c r="AM34" s="186" t="str">
        <f>" " &amp; TEXT(AE34,"#0.00%") &amp; " " &amp; "관리자" &amp; "(최현)" &amp; " " &amp; IF(P34="","",TEXT(P34,"M/D-")) &amp; IF(Q34="","",TEXT(Q34,"M/D")) &amp; " "</f>
        <v xml:space="preserve"> 0.00% 관리자(최현) 8/19-8/23 </v>
      </c>
      <c r="AN34" s="186"/>
      <c r="AO34" s="186"/>
      <c r="AP34" s="186"/>
      <c r="AQ34" s="186"/>
    </row>
    <row r="35" spans="1:43" ht="12" customHeight="1" outlineLevel="2">
      <c r="A35" s="146"/>
      <c r="B35" s="146"/>
      <c r="C35" s="146">
        <v>3</v>
      </c>
      <c r="D35" s="153" t="s">
        <v>1604</v>
      </c>
      <c r="E35" s="153"/>
      <c r="F35" s="157"/>
      <c r="G35" s="157" t="s">
        <v>1569</v>
      </c>
      <c r="H35" s="157"/>
      <c r="I35" s="157"/>
      <c r="J35" s="157"/>
      <c r="K35" s="157"/>
      <c r="L35" s="157"/>
      <c r="M35" s="157"/>
      <c r="N35" s="157"/>
      <c r="O35" s="157"/>
      <c r="P35" s="208">
        <v>45527</v>
      </c>
      <c r="Q35" s="208">
        <v>45534</v>
      </c>
      <c r="R35" s="136"/>
      <c r="S35" s="149">
        <v>6</v>
      </c>
      <c r="T35" s="149">
        <v>0</v>
      </c>
      <c r="U35" s="149">
        <v>6</v>
      </c>
      <c r="V35" s="149">
        <v>0</v>
      </c>
      <c r="W35" s="148"/>
      <c r="X35" s="148"/>
      <c r="Y35" s="150"/>
      <c r="Z35" s="151">
        <v>0</v>
      </c>
      <c r="AA35" s="149"/>
      <c r="AB35" s="147" t="s">
        <v>1551</v>
      </c>
      <c r="AC35" s="156" t="s">
        <v>1570</v>
      </c>
      <c r="AD35" s="152">
        <v>0</v>
      </c>
      <c r="AE35" s="155">
        <v>0</v>
      </c>
      <c r="AF35" s="185"/>
      <c r="AG35" s="186"/>
      <c r="AH35" s="186"/>
      <c r="AI35" s="186"/>
      <c r="AJ35" s="186"/>
      <c r="AK35" s="186"/>
      <c r="AL35" s="186"/>
      <c r="AM35" s="186" t="str">
        <f>"     " &amp; TEXT(AE35,"#0.00%") &amp; " " &amp; "서비스소개" &amp; "(최현)" &amp; " " &amp; IF(P35="","",TEXT(P35,"M/D-")) &amp; IF(Q35="","",TEXT(Q35,"M/D")) &amp; " "</f>
        <v xml:space="preserve">     0.00% 서비스소개(최현) 8/23-8/30 </v>
      </c>
      <c r="AN35" s="186"/>
      <c r="AO35" s="186"/>
      <c r="AP35" s="186"/>
      <c r="AQ35" s="186"/>
    </row>
    <row r="36" spans="1:43" ht="12" customHeight="1" outlineLevel="1">
      <c r="A36" s="146"/>
      <c r="B36" s="146" t="s">
        <v>75</v>
      </c>
      <c r="C36" s="146">
        <v>2</v>
      </c>
      <c r="D36" s="153" t="s">
        <v>1572</v>
      </c>
      <c r="E36" s="147"/>
      <c r="F36" s="147" t="s">
        <v>1578</v>
      </c>
      <c r="G36" s="147"/>
      <c r="H36" s="147"/>
      <c r="I36" s="147"/>
      <c r="J36" s="147"/>
      <c r="K36" s="147"/>
      <c r="L36" s="147"/>
      <c r="M36" s="147"/>
      <c r="N36" s="147"/>
      <c r="O36" s="147"/>
      <c r="P36" s="148">
        <v>45495</v>
      </c>
      <c r="Q36" s="148">
        <v>45534</v>
      </c>
      <c r="R36" s="147"/>
      <c r="S36" s="149">
        <v>180</v>
      </c>
      <c r="T36" s="149">
        <v>54</v>
      </c>
      <c r="U36" s="149">
        <v>30</v>
      </c>
      <c r="V36" s="149">
        <v>9</v>
      </c>
      <c r="W36" s="148"/>
      <c r="X36" s="148"/>
      <c r="Y36" s="150">
        <v>0</v>
      </c>
      <c r="Z36" s="151">
        <v>0</v>
      </c>
      <c r="AA36" s="149"/>
      <c r="AB36" s="147"/>
      <c r="AC36" s="156"/>
      <c r="AD36" s="152">
        <v>0.3</v>
      </c>
      <c r="AE36" s="193">
        <v>3.3333333333333333E-2</v>
      </c>
      <c r="AF36" s="185"/>
      <c r="AG36" s="186"/>
      <c r="AH36" s="186"/>
      <c r="AI36" s="186" t="str">
        <f>"  " &amp; TEXT(AE36,"#0.00%") &amp; " "</f>
        <v xml:space="preserve">  3.33% </v>
      </c>
      <c r="AJ36" s="186"/>
      <c r="AK36" s="186"/>
      <c r="AL36" s="186"/>
      <c r="AM36" s="186"/>
      <c r="AN36" s="186" t="str">
        <f>"      " &amp; "18개 시도 웹ASP" &amp; " " &amp; IF(P36="","",TEXT(P36,"M/D-")) &amp; IF(Q36="","",TEXT(Q36,"M/D")) &amp; " "</f>
        <v xml:space="preserve">      18개 시도 웹ASP 7/22-8/30 </v>
      </c>
      <c r="AO36" s="186"/>
      <c r="AP36" s="186"/>
      <c r="AQ36" s="186"/>
    </row>
    <row r="37" spans="1:43" ht="12" customHeight="1" outlineLevel="2">
      <c r="A37" s="146"/>
      <c r="B37" s="146"/>
      <c r="C37" s="146">
        <v>3</v>
      </c>
      <c r="D37" s="153" t="s">
        <v>1607</v>
      </c>
      <c r="E37" s="147"/>
      <c r="F37" s="147"/>
      <c r="G37" s="147" t="s">
        <v>1577</v>
      </c>
      <c r="H37" s="157"/>
      <c r="I37" s="147"/>
      <c r="J37" s="147"/>
      <c r="K37" s="147"/>
      <c r="L37" s="147"/>
      <c r="M37" s="147"/>
      <c r="N37" s="147"/>
      <c r="O37" s="147"/>
      <c r="P37" s="208">
        <v>45495</v>
      </c>
      <c r="Q37" s="208">
        <v>45534</v>
      </c>
      <c r="R37" s="147"/>
      <c r="S37" s="149">
        <v>60</v>
      </c>
      <c r="T37" s="149">
        <v>18</v>
      </c>
      <c r="U37" s="149">
        <v>30</v>
      </c>
      <c r="V37" s="149">
        <v>9</v>
      </c>
      <c r="W37" s="148"/>
      <c r="X37" s="148"/>
      <c r="Y37" s="150"/>
      <c r="Z37" s="151">
        <v>0</v>
      </c>
      <c r="AA37" s="149"/>
      <c r="AB37" s="147" t="s">
        <v>1568</v>
      </c>
      <c r="AC37" s="156" t="s">
        <v>1570</v>
      </c>
      <c r="AD37" s="152">
        <v>0.3</v>
      </c>
      <c r="AE37" s="192">
        <v>0.1</v>
      </c>
      <c r="AF37" s="185"/>
      <c r="AG37" s="186"/>
      <c r="AH37" s="186"/>
      <c r="AI37" s="186" t="str">
        <f>"     " &amp; TEXT(AE37,"#0.00%") &amp; " "</f>
        <v xml:space="preserve">     10.00% </v>
      </c>
      <c r="AJ37" s="186"/>
      <c r="AK37" s="186"/>
      <c r="AL37" s="186"/>
      <c r="AM37" s="186"/>
      <c r="AN37" s="186" t="str">
        <f>"      " &amp; "대시보드" &amp; "(박수진, 이선경)" &amp; " " &amp; IF(P37="","",TEXT(P37,"M/D-")) &amp; IF(Q37="","",TEXT(Q37,"M/D")) &amp; " "</f>
        <v xml:space="preserve">      대시보드(박수진, 이선경) 7/22-8/30 </v>
      </c>
      <c r="AO37" s="186"/>
      <c r="AP37" s="186"/>
      <c r="AQ37" s="186"/>
    </row>
    <row r="38" spans="1:43" ht="12" customHeight="1" outlineLevel="2">
      <c r="A38" s="146"/>
      <c r="B38" s="146"/>
      <c r="C38" s="146">
        <v>3</v>
      </c>
      <c r="D38" s="153" t="s">
        <v>1608</v>
      </c>
      <c r="E38" s="147"/>
      <c r="F38" s="147"/>
      <c r="G38" s="147" t="s">
        <v>1552</v>
      </c>
      <c r="H38" s="157"/>
      <c r="I38" s="147"/>
      <c r="J38" s="147"/>
      <c r="K38" s="147"/>
      <c r="L38" s="147"/>
      <c r="M38" s="147"/>
      <c r="N38" s="147"/>
      <c r="O38" s="147"/>
      <c r="P38" s="208">
        <v>45495</v>
      </c>
      <c r="Q38" s="208">
        <v>45534</v>
      </c>
      <c r="R38" s="147"/>
      <c r="S38" s="149">
        <v>60</v>
      </c>
      <c r="T38" s="149">
        <v>18</v>
      </c>
      <c r="U38" s="149">
        <v>30</v>
      </c>
      <c r="V38" s="149">
        <v>9</v>
      </c>
      <c r="W38" s="148"/>
      <c r="X38" s="148"/>
      <c r="Y38" s="150"/>
      <c r="Z38" s="151">
        <v>0</v>
      </c>
      <c r="AA38" s="149"/>
      <c r="AB38" s="147" t="s">
        <v>1568</v>
      </c>
      <c r="AC38" s="156" t="s">
        <v>1570</v>
      </c>
      <c r="AD38" s="152">
        <v>0.3</v>
      </c>
      <c r="AE38" s="192">
        <v>0</v>
      </c>
      <c r="AF38" s="185"/>
      <c r="AG38" s="186"/>
      <c r="AH38" s="186"/>
      <c r="AI38" s="186" t="str">
        <f>" " &amp; TEXT(AE38,"#0.00%") &amp; " "</f>
        <v xml:space="preserve"> 0.00% </v>
      </c>
      <c r="AJ38" s="186"/>
      <c r="AK38" s="186"/>
      <c r="AL38" s="186"/>
      <c r="AM38" s="186"/>
      <c r="AN38" s="186" t="str">
        <f>"      " &amp; "GIS분석" &amp; "(박수진, 이선경)" &amp; " " &amp; IF(P38="","",TEXT(P38,"M/D-")) &amp; IF(Q38="","",TEXT(Q38,"M/D")) &amp; " "</f>
        <v xml:space="preserve">      GIS분석(박수진, 이선경) 7/22-8/30 </v>
      </c>
      <c r="AO38" s="186"/>
      <c r="AP38" s="186"/>
      <c r="AQ38" s="186"/>
    </row>
    <row r="39" spans="1:43" ht="12" customHeight="1" outlineLevel="2">
      <c r="A39" s="146"/>
      <c r="B39" s="146"/>
      <c r="C39" s="146">
        <v>3</v>
      </c>
      <c r="D39" s="153" t="s">
        <v>1609</v>
      </c>
      <c r="E39" s="147"/>
      <c r="F39" s="147"/>
      <c r="G39" s="147" t="s">
        <v>1576</v>
      </c>
      <c r="H39" s="157"/>
      <c r="I39" s="147"/>
      <c r="J39" s="147"/>
      <c r="K39" s="147"/>
      <c r="L39" s="147"/>
      <c r="M39" s="147"/>
      <c r="N39" s="147"/>
      <c r="O39" s="147"/>
      <c r="P39" s="208">
        <v>45495</v>
      </c>
      <c r="Q39" s="208">
        <v>45534</v>
      </c>
      <c r="R39" s="147"/>
      <c r="S39" s="149">
        <v>60</v>
      </c>
      <c r="T39" s="149">
        <v>18</v>
      </c>
      <c r="U39" s="149">
        <v>30</v>
      </c>
      <c r="V39" s="149">
        <v>9</v>
      </c>
      <c r="W39" s="148"/>
      <c r="X39" s="148"/>
      <c r="Y39" s="150"/>
      <c r="Z39" s="151">
        <v>0</v>
      </c>
      <c r="AA39" s="149"/>
      <c r="AB39" s="147" t="s">
        <v>1568</v>
      </c>
      <c r="AC39" s="156" t="s">
        <v>1570</v>
      </c>
      <c r="AD39" s="152">
        <v>0.3</v>
      </c>
      <c r="AE39" s="192">
        <v>0</v>
      </c>
      <c r="AF39" s="185"/>
      <c r="AG39" s="186"/>
      <c r="AH39" s="186"/>
      <c r="AI39" s="186" t="str">
        <f>" " &amp; TEXT(AE39,"#0.00%") &amp; " "</f>
        <v xml:space="preserve"> 0.00% </v>
      </c>
      <c r="AJ39" s="186"/>
      <c r="AK39" s="186"/>
      <c r="AL39" s="186"/>
      <c r="AM39" s="186"/>
      <c r="AN39" s="186" t="str">
        <f>"      " &amp; "지표분석" &amp; "(박수진, 이선경)" &amp; " " &amp; IF(P39="","",TEXT(P39,"M/D-")) &amp; IF(Q39="","",TEXT(Q39,"M/D")) &amp; " "</f>
        <v xml:space="preserve">      지표분석(박수진, 이선경) 7/22-8/30 </v>
      </c>
      <c r="AO39" s="186"/>
      <c r="AP39" s="186"/>
      <c r="AQ39" s="186"/>
    </row>
    <row r="40" spans="1:43" ht="12" customHeight="1" outlineLevel="2">
      <c r="A40" s="146"/>
      <c r="B40" s="146"/>
      <c r="C40" s="146">
        <v>0</v>
      </c>
      <c r="D40" s="147"/>
      <c r="E40" s="147"/>
      <c r="F40" s="147"/>
      <c r="G40" s="147"/>
      <c r="H40" s="147"/>
      <c r="I40" s="147"/>
      <c r="J40" s="147"/>
      <c r="K40" s="147"/>
      <c r="L40" s="147"/>
      <c r="M40" s="147"/>
      <c r="N40" s="147"/>
      <c r="O40" s="147"/>
      <c r="P40" s="148"/>
      <c r="Q40" s="148"/>
      <c r="R40" s="147"/>
      <c r="S40" s="149"/>
      <c r="T40" s="149"/>
      <c r="U40" s="149">
        <v>0</v>
      </c>
      <c r="V40" s="149">
        <v>0</v>
      </c>
      <c r="W40" s="148"/>
      <c r="X40" s="148"/>
      <c r="Y40" s="150"/>
      <c r="Z40" s="151">
        <v>0</v>
      </c>
      <c r="AA40" s="149"/>
      <c r="AB40" s="147"/>
      <c r="AC40" s="156"/>
      <c r="AD40" s="152"/>
      <c r="AE40" s="266"/>
      <c r="AF40" s="185"/>
      <c r="AG40" s="186"/>
      <c r="AH40" s="186"/>
      <c r="AI40" s="186"/>
      <c r="AJ40" s="186"/>
      <c r="AK40" s="186"/>
      <c r="AL40" s="186"/>
      <c r="AM40" s="186"/>
      <c r="AN40" s="186"/>
      <c r="AO40" s="186"/>
      <c r="AP40" s="186"/>
      <c r="AQ40" s="186"/>
    </row>
    <row r="41" spans="1:43" ht="12" customHeight="1">
      <c r="A41" s="146"/>
      <c r="B41" s="146" t="s">
        <v>75</v>
      </c>
      <c r="C41" s="146">
        <v>1</v>
      </c>
      <c r="D41" s="153" t="s">
        <v>84</v>
      </c>
      <c r="E41" s="147" t="s">
        <v>90</v>
      </c>
      <c r="F41" s="147"/>
      <c r="G41" s="147"/>
      <c r="H41" s="147"/>
      <c r="I41" s="147"/>
      <c r="J41" s="147"/>
      <c r="K41" s="147"/>
      <c r="L41" s="147"/>
      <c r="M41" s="147"/>
      <c r="N41" s="147"/>
      <c r="O41" s="147"/>
      <c r="P41" s="148">
        <v>45502</v>
      </c>
      <c r="Q41" s="148">
        <v>45548</v>
      </c>
      <c r="R41" s="147"/>
      <c r="S41" s="149">
        <v>130</v>
      </c>
      <c r="T41" s="149">
        <v>4</v>
      </c>
      <c r="U41" s="149">
        <v>35</v>
      </c>
      <c r="V41" s="149">
        <v>4</v>
      </c>
      <c r="W41" s="148"/>
      <c r="X41" s="148"/>
      <c r="Y41" s="150">
        <v>0</v>
      </c>
      <c r="Z41" s="151">
        <v>0</v>
      </c>
      <c r="AA41" s="149"/>
      <c r="AB41" s="147"/>
      <c r="AC41" s="156"/>
      <c r="AD41" s="152">
        <v>3.0769230769230771E-2</v>
      </c>
      <c r="AE41" s="193">
        <v>0</v>
      </c>
      <c r="AF41" s="185"/>
      <c r="AG41" s="186"/>
      <c r="AH41" s="186"/>
      <c r="AI41" s="186"/>
      <c r="AJ41" s="186" t="str">
        <f>" " &amp; TEXT(AE41,"#0.00%") &amp; " "</f>
        <v xml:space="preserve"> 0.00% </v>
      </c>
      <c r="AK41" s="186"/>
      <c r="AL41" s="186"/>
      <c r="AM41" s="186"/>
      <c r="AN41" s="186"/>
      <c r="AO41" s="186"/>
      <c r="AP41" s="186" t="str">
        <f>"      " &amp; "디자인" &amp; " " &amp; IF(P41="","",TEXT(P41,"M/D-")) &amp; IF(Q41="","",TEXT(Q41,"M/D")) &amp; " "</f>
        <v xml:space="preserve">      디자인 7/29-9/13 </v>
      </c>
      <c r="AQ41" s="186"/>
    </row>
    <row r="42" spans="1:43" ht="12" customHeight="1" outlineLevel="1">
      <c r="A42" s="146"/>
      <c r="B42" s="146" t="s">
        <v>75</v>
      </c>
      <c r="C42" s="146">
        <v>2</v>
      </c>
      <c r="D42" s="153" t="s">
        <v>85</v>
      </c>
      <c r="E42" s="147"/>
      <c r="F42" s="157" t="s">
        <v>1558</v>
      </c>
      <c r="G42" s="147"/>
      <c r="H42" s="147"/>
      <c r="I42" s="147"/>
      <c r="J42" s="147"/>
      <c r="K42" s="147"/>
      <c r="L42" s="147"/>
      <c r="M42" s="147"/>
      <c r="N42" s="147"/>
      <c r="O42" s="147"/>
      <c r="P42" s="148">
        <v>45530</v>
      </c>
      <c r="Q42" s="148">
        <v>45534</v>
      </c>
      <c r="R42" s="147"/>
      <c r="S42" s="149">
        <v>10</v>
      </c>
      <c r="T42" s="149">
        <v>0</v>
      </c>
      <c r="U42" s="149">
        <v>5</v>
      </c>
      <c r="V42" s="149">
        <v>0</v>
      </c>
      <c r="W42" s="148"/>
      <c r="X42" s="148"/>
      <c r="Y42" s="150">
        <v>0</v>
      </c>
      <c r="Z42" s="151">
        <v>0</v>
      </c>
      <c r="AA42" s="149"/>
      <c r="AB42" s="147"/>
      <c r="AC42" s="156"/>
      <c r="AD42" s="152">
        <v>0</v>
      </c>
      <c r="AE42" s="209">
        <v>0</v>
      </c>
      <c r="AF42" s="185"/>
      <c r="AG42" s="186"/>
      <c r="AH42" s="186"/>
      <c r="AI42" s="186"/>
      <c r="AJ42" s="186"/>
      <c r="AK42" s="186"/>
      <c r="AL42" s="186"/>
      <c r="AM42" s="186"/>
      <c r="AN42" s="186" t="str">
        <f>" " &amp; TEXT(AE42,"#0.00%") &amp; " " &amp; "종합생활분석" &amp; " " &amp; IF(P42="","",TEXT(P42,"M/D-")) &amp; IF(Q42="","",TEXT(Q42,"M/D")) &amp; " "</f>
        <v xml:space="preserve"> 0.00% 종합생활분석 8/26-8/30 </v>
      </c>
      <c r="AO42" s="186"/>
      <c r="AP42" s="186"/>
      <c r="AQ42" s="186"/>
    </row>
    <row r="43" spans="1:43" ht="12" customHeight="1" outlineLevel="2">
      <c r="A43" s="146"/>
      <c r="B43" s="146"/>
      <c r="C43" s="146">
        <v>3</v>
      </c>
      <c r="D43" s="153" t="s">
        <v>86</v>
      </c>
      <c r="E43" s="147"/>
      <c r="F43" s="157"/>
      <c r="G43" s="157" t="s">
        <v>1555</v>
      </c>
      <c r="H43" s="147"/>
      <c r="I43" s="147"/>
      <c r="J43" s="147"/>
      <c r="K43" s="147"/>
      <c r="L43" s="147"/>
      <c r="M43" s="147"/>
      <c r="N43" s="147"/>
      <c r="O43" s="147"/>
      <c r="P43" s="208">
        <v>45530</v>
      </c>
      <c r="Q43" s="208">
        <v>45534</v>
      </c>
      <c r="R43" s="136"/>
      <c r="S43" s="149">
        <v>5</v>
      </c>
      <c r="T43" s="149">
        <v>0</v>
      </c>
      <c r="U43" s="149">
        <v>5</v>
      </c>
      <c r="V43" s="149">
        <v>0</v>
      </c>
      <c r="W43" s="148"/>
      <c r="X43" s="148"/>
      <c r="Y43" s="150"/>
      <c r="Z43" s="151">
        <v>0</v>
      </c>
      <c r="AA43" s="149"/>
      <c r="AB43" s="147" t="s">
        <v>1610</v>
      </c>
      <c r="AC43" s="156"/>
      <c r="AD43" s="152">
        <v>0</v>
      </c>
      <c r="AE43" s="155">
        <v>0</v>
      </c>
      <c r="AF43" s="185"/>
      <c r="AG43" s="186"/>
      <c r="AH43" s="186"/>
      <c r="AI43" s="186"/>
      <c r="AJ43" s="186"/>
      <c r="AK43" s="186"/>
      <c r="AL43" s="186"/>
      <c r="AM43" s="186"/>
      <c r="AN43" s="186" t="str">
        <f>" " &amp; TEXT(AE43,"#0.00%") &amp; " " &amp; "리포트 형식" &amp; "(이운주)" &amp; " " &amp; IF(P43="","",TEXT(P43,"M/D-")) &amp; IF(Q43="","",TEXT(Q43,"M/D")) &amp; " "</f>
        <v xml:space="preserve"> 0.00% 리포트 형식(이운주) 8/26-8/30 </v>
      </c>
      <c r="AO43" s="186"/>
      <c r="AP43" s="186"/>
      <c r="AQ43" s="186"/>
    </row>
    <row r="44" spans="1:43" ht="12" customHeight="1" outlineLevel="2">
      <c r="A44" s="146"/>
      <c r="B44" s="146"/>
      <c r="C44" s="146">
        <v>3</v>
      </c>
      <c r="D44" s="153" t="s">
        <v>87</v>
      </c>
      <c r="E44" s="147"/>
      <c r="F44" s="157"/>
      <c r="G44" s="157" t="s">
        <v>1556</v>
      </c>
      <c r="H44" s="147"/>
      <c r="I44" s="147"/>
      <c r="J44" s="147"/>
      <c r="K44" s="147"/>
      <c r="L44" s="147"/>
      <c r="M44" s="147"/>
      <c r="N44" s="147"/>
      <c r="O44" s="147"/>
      <c r="P44" s="208">
        <v>45530</v>
      </c>
      <c r="Q44" s="208">
        <v>45534</v>
      </c>
      <c r="R44" s="136"/>
      <c r="S44" s="149">
        <v>5</v>
      </c>
      <c r="T44" s="149">
        <v>0</v>
      </c>
      <c r="U44" s="149">
        <v>5</v>
      </c>
      <c r="V44" s="149">
        <v>0</v>
      </c>
      <c r="W44" s="148"/>
      <c r="X44" s="148"/>
      <c r="Y44" s="150"/>
      <c r="Z44" s="151">
        <v>0</v>
      </c>
      <c r="AA44" s="149"/>
      <c r="AB44" s="147" t="s">
        <v>1610</v>
      </c>
      <c r="AC44" s="156"/>
      <c r="AD44" s="152">
        <v>0</v>
      </c>
      <c r="AE44" s="155">
        <v>0</v>
      </c>
      <c r="AF44" s="185"/>
      <c r="AG44" s="186"/>
      <c r="AH44" s="186"/>
      <c r="AI44" s="186"/>
      <c r="AJ44" s="186"/>
      <c r="AK44" s="186"/>
      <c r="AL44" s="186"/>
      <c r="AM44" s="186"/>
      <c r="AN44" s="186" t="str">
        <f>" " &amp; TEXT(AE44,"#0.00%") &amp; " " &amp; "대시보드 (새창)" &amp; "(이운주)" &amp; " " &amp; IF(P44="","",TEXT(P44,"M/D-")) &amp; IF(Q44="","",TEXT(Q44,"M/D")) &amp; " "</f>
        <v xml:space="preserve"> 0.00% 대시보드 (새창)(이운주) 8/26-8/30 </v>
      </c>
      <c r="AO44" s="186"/>
      <c r="AP44" s="186"/>
      <c r="AQ44" s="186"/>
    </row>
    <row r="45" spans="1:43" ht="12" customHeight="1" outlineLevel="1">
      <c r="A45" s="146"/>
      <c r="B45" s="146" t="s">
        <v>75</v>
      </c>
      <c r="C45" s="146">
        <v>2</v>
      </c>
      <c r="D45" s="153" t="s">
        <v>88</v>
      </c>
      <c r="E45" s="147"/>
      <c r="F45" s="157" t="s">
        <v>1552</v>
      </c>
      <c r="G45" s="147"/>
      <c r="H45" s="147"/>
      <c r="I45" s="147"/>
      <c r="J45" s="147"/>
      <c r="K45" s="147"/>
      <c r="L45" s="147"/>
      <c r="M45" s="147"/>
      <c r="N45" s="147"/>
      <c r="O45" s="147"/>
      <c r="P45" s="148">
        <v>45516</v>
      </c>
      <c r="Q45" s="148">
        <v>45520</v>
      </c>
      <c r="R45" s="147"/>
      <c r="S45" s="149">
        <v>5</v>
      </c>
      <c r="T45" s="149">
        <v>0</v>
      </c>
      <c r="U45" s="149">
        <v>5</v>
      </c>
      <c r="V45" s="149">
        <v>0</v>
      </c>
      <c r="W45" s="148"/>
      <c r="X45" s="148"/>
      <c r="Y45" s="150">
        <v>0</v>
      </c>
      <c r="Z45" s="151">
        <v>0</v>
      </c>
      <c r="AA45" s="149"/>
      <c r="AB45" s="147"/>
      <c r="AC45" s="156"/>
      <c r="AD45" s="152">
        <v>0</v>
      </c>
      <c r="AE45" s="209">
        <v>0</v>
      </c>
      <c r="AF45" s="185"/>
      <c r="AG45" s="186"/>
      <c r="AH45" s="186"/>
      <c r="AI45" s="186"/>
      <c r="AJ45" s="186"/>
      <c r="AK45" s="186"/>
      <c r="AL45" s="186" t="str">
        <f>" " &amp; TEXT(AE45,"#0.00%") &amp; " " &amp; "GIS분석" &amp; " " &amp; IF(P45="","",TEXT(P45,"M/D-")) &amp; IF(Q45="","",TEXT(Q45,"M/D")) &amp; " "</f>
        <v xml:space="preserve"> 0.00% GIS분석 8/12-8/16 </v>
      </c>
      <c r="AM45" s="186"/>
      <c r="AN45" s="186"/>
      <c r="AO45" s="186"/>
      <c r="AP45" s="186"/>
      <c r="AQ45" s="186"/>
    </row>
    <row r="46" spans="1:43" ht="12" customHeight="1" outlineLevel="2">
      <c r="A46" s="146"/>
      <c r="B46" s="146"/>
      <c r="C46" s="146">
        <v>3</v>
      </c>
      <c r="D46" s="153" t="s">
        <v>89</v>
      </c>
      <c r="E46" s="147"/>
      <c r="F46" s="157"/>
      <c r="G46" s="157" t="s">
        <v>1574</v>
      </c>
      <c r="H46" s="147"/>
      <c r="I46" s="147"/>
      <c r="J46" s="147"/>
      <c r="K46" s="147"/>
      <c r="L46" s="147"/>
      <c r="M46" s="147"/>
      <c r="N46" s="147"/>
      <c r="O46" s="147"/>
      <c r="P46" s="208">
        <v>45516</v>
      </c>
      <c r="Q46" s="208">
        <v>45520</v>
      </c>
      <c r="R46" s="147"/>
      <c r="S46" s="149">
        <v>5</v>
      </c>
      <c r="T46" s="149">
        <v>0</v>
      </c>
      <c r="U46" s="149">
        <v>5</v>
      </c>
      <c r="V46" s="149">
        <v>0</v>
      </c>
      <c r="W46" s="148"/>
      <c r="X46" s="148"/>
      <c r="Y46" s="150"/>
      <c r="Z46" s="151">
        <v>0</v>
      </c>
      <c r="AA46" s="149"/>
      <c r="AB46" s="147" t="s">
        <v>1610</v>
      </c>
      <c r="AC46" s="156"/>
      <c r="AD46" s="152">
        <v>0</v>
      </c>
      <c r="AE46" s="155">
        <v>0</v>
      </c>
      <c r="AF46" s="185"/>
      <c r="AG46" s="186"/>
      <c r="AH46" s="186"/>
      <c r="AI46" s="186"/>
      <c r="AJ46" s="186"/>
      <c r="AK46" s="186"/>
      <c r="AL46" s="186" t="str">
        <f>" " &amp; TEXT(AE46,"#0.00%") &amp; " " &amp; "공통 레이아웃" &amp; "(이운주)" &amp; " " &amp; IF(P46="","",TEXT(P46,"M/D-")) &amp; IF(Q46="","",TEXT(Q46,"M/D")) &amp; " "</f>
        <v xml:space="preserve"> 0.00% 공통 레이아웃(이운주) 8/12-8/16 </v>
      </c>
      <c r="AM46" s="186"/>
      <c r="AN46" s="186"/>
      <c r="AO46" s="186"/>
      <c r="AP46" s="186"/>
      <c r="AQ46" s="186"/>
    </row>
    <row r="47" spans="1:43" ht="12" customHeight="1" outlineLevel="1">
      <c r="A47" s="146"/>
      <c r="B47" s="146" t="s">
        <v>75</v>
      </c>
      <c r="C47" s="146">
        <v>2</v>
      </c>
      <c r="D47" s="153" t="s">
        <v>1349</v>
      </c>
      <c r="E47" s="147"/>
      <c r="F47" s="157" t="s">
        <v>1553</v>
      </c>
      <c r="G47" s="147"/>
      <c r="H47" s="147"/>
      <c r="I47" s="147"/>
      <c r="J47" s="147"/>
      <c r="K47" s="147"/>
      <c r="L47" s="147"/>
      <c r="M47" s="147"/>
      <c r="N47" s="147"/>
      <c r="O47" s="147"/>
      <c r="P47" s="148">
        <v>45502</v>
      </c>
      <c r="Q47" s="148">
        <v>45520</v>
      </c>
      <c r="R47" s="147"/>
      <c r="S47" s="149">
        <v>25</v>
      </c>
      <c r="T47" s="149">
        <v>4</v>
      </c>
      <c r="U47" s="149">
        <v>15</v>
      </c>
      <c r="V47" s="149">
        <v>4</v>
      </c>
      <c r="W47" s="148"/>
      <c r="X47" s="148"/>
      <c r="Y47" s="150">
        <v>0</v>
      </c>
      <c r="Z47" s="151">
        <v>0</v>
      </c>
      <c r="AA47" s="149"/>
      <c r="AB47" s="147"/>
      <c r="AC47" s="156"/>
      <c r="AD47" s="152">
        <v>0.16</v>
      </c>
      <c r="AE47" s="193">
        <v>0</v>
      </c>
      <c r="AF47" s="185"/>
      <c r="AG47" s="186"/>
      <c r="AH47" s="186"/>
      <c r="AI47" s="186"/>
      <c r="AJ47" s="186" t="str">
        <f>" " &amp; TEXT(AE47,"#0.00%") &amp; " " &amp; "생활인구" &amp; " " &amp; IF(P47="","",TEXT(P47,"M/D-")) &amp; IF(Q47="","",TEXT(Q47,"M/D")) &amp; " "</f>
        <v xml:space="preserve"> 0.00% 생활인구 7/29-8/16 </v>
      </c>
      <c r="AK47" s="186"/>
      <c r="AL47" s="186"/>
      <c r="AM47" s="186"/>
      <c r="AN47" s="186"/>
      <c r="AO47" s="186"/>
      <c r="AP47" s="186"/>
      <c r="AQ47" s="186"/>
    </row>
    <row r="48" spans="1:43" ht="12" customHeight="1" outlineLevel="2">
      <c r="A48" s="146"/>
      <c r="B48" s="146"/>
      <c r="C48" s="146">
        <v>3</v>
      </c>
      <c r="D48" s="153" t="s">
        <v>1348</v>
      </c>
      <c r="E48" s="147"/>
      <c r="F48" s="157"/>
      <c r="G48" s="157" t="s">
        <v>1583</v>
      </c>
      <c r="H48" s="147"/>
      <c r="I48" s="147"/>
      <c r="J48" s="147"/>
      <c r="K48" s="147"/>
      <c r="L48" s="147"/>
      <c r="M48" s="147"/>
      <c r="N48" s="147"/>
      <c r="O48" s="147"/>
      <c r="P48" s="208">
        <v>45516</v>
      </c>
      <c r="Q48" s="208">
        <v>45520</v>
      </c>
      <c r="R48" s="147"/>
      <c r="S48" s="149">
        <v>5</v>
      </c>
      <c r="T48" s="149">
        <v>0</v>
      </c>
      <c r="U48" s="149">
        <v>5</v>
      </c>
      <c r="V48" s="149">
        <v>0</v>
      </c>
      <c r="W48" s="148"/>
      <c r="X48" s="148"/>
      <c r="Y48" s="150"/>
      <c r="Z48" s="151">
        <v>0</v>
      </c>
      <c r="AA48" s="149"/>
      <c r="AB48" s="147" t="s">
        <v>1610</v>
      </c>
      <c r="AC48" s="156"/>
      <c r="AD48" s="152">
        <v>0</v>
      </c>
      <c r="AE48" s="155">
        <v>0</v>
      </c>
      <c r="AF48" s="185"/>
      <c r="AG48" s="186"/>
      <c r="AH48" s="186"/>
      <c r="AI48" s="186"/>
      <c r="AJ48" s="186"/>
      <c r="AK48" s="186"/>
      <c r="AL48" s="186" t="str">
        <f>" " &amp; TEXT(AE48,"#0.00%") &amp; " " &amp; "종합생활인구분석" &amp; "(이운주)" &amp; " " &amp; IF(P48="","",TEXT(P48,"M/D-")) &amp; IF(Q48="","",TEXT(Q48,"M/D")) &amp; " "</f>
        <v xml:space="preserve"> 0.00% 종합생활인구분석(이운주) 8/12-8/16 </v>
      </c>
      <c r="AM48" s="186"/>
      <c r="AN48" s="186"/>
      <c r="AO48" s="186"/>
      <c r="AP48" s="186"/>
      <c r="AQ48" s="186"/>
    </row>
    <row r="49" spans="1:43" ht="12" customHeight="1" outlineLevel="2">
      <c r="A49" s="146"/>
      <c r="B49" s="146"/>
      <c r="C49" s="146">
        <v>3</v>
      </c>
      <c r="D49" s="153" t="s">
        <v>1350</v>
      </c>
      <c r="E49" s="147"/>
      <c r="F49" s="157"/>
      <c r="G49" s="157" t="s">
        <v>1584</v>
      </c>
      <c r="H49" s="147"/>
      <c r="I49" s="147"/>
      <c r="J49" s="147"/>
      <c r="K49" s="147"/>
      <c r="L49" s="147"/>
      <c r="M49" s="147"/>
      <c r="N49" s="147"/>
      <c r="O49" s="147"/>
      <c r="P49" s="208">
        <v>45502</v>
      </c>
      <c r="Q49" s="208">
        <v>45506</v>
      </c>
      <c r="R49" s="147"/>
      <c r="S49" s="149">
        <v>5</v>
      </c>
      <c r="T49" s="149">
        <v>4</v>
      </c>
      <c r="U49" s="149">
        <v>5</v>
      </c>
      <c r="V49" s="149">
        <v>4</v>
      </c>
      <c r="W49" s="148"/>
      <c r="X49" s="148"/>
      <c r="Y49" s="150"/>
      <c r="Z49" s="151">
        <v>0</v>
      </c>
      <c r="AA49" s="149"/>
      <c r="AB49" s="147" t="s">
        <v>1610</v>
      </c>
      <c r="AC49" s="156"/>
      <c r="AD49" s="152">
        <v>0.8</v>
      </c>
      <c r="AE49" s="192">
        <v>0</v>
      </c>
      <c r="AF49" s="185"/>
      <c r="AG49" s="186"/>
      <c r="AH49" s="186"/>
      <c r="AI49" s="186"/>
      <c r="AJ49" s="186" t="str">
        <f>" " &amp; TEXT(AE49,"#0.00%") &amp; " " &amp; "생활인구현황" &amp; "(이운주)" &amp; " " &amp; IF(P49="","",TEXT(P49,"M/D-")) &amp; IF(Q49="","",TEXT(Q49,"M/D")) &amp; " "</f>
        <v xml:space="preserve"> 0.00% 생활인구현황(이운주) 7/29-8/2 </v>
      </c>
      <c r="AK49" s="186"/>
      <c r="AL49" s="186"/>
      <c r="AM49" s="186"/>
      <c r="AN49" s="186"/>
      <c r="AO49" s="186"/>
      <c r="AP49" s="186"/>
      <c r="AQ49" s="186"/>
    </row>
    <row r="50" spans="1:43" ht="12" customHeight="1" outlineLevel="2">
      <c r="A50" s="146"/>
      <c r="B50" s="146"/>
      <c r="C50" s="146">
        <v>3</v>
      </c>
      <c r="D50" s="153" t="s">
        <v>1548</v>
      </c>
      <c r="E50" s="147"/>
      <c r="F50" s="157"/>
      <c r="G50" s="157" t="s">
        <v>1585</v>
      </c>
      <c r="H50" s="147"/>
      <c r="I50" s="147"/>
      <c r="J50" s="147"/>
      <c r="K50" s="147"/>
      <c r="L50" s="147"/>
      <c r="M50" s="147"/>
      <c r="N50" s="147"/>
      <c r="O50" s="147"/>
      <c r="P50" s="208">
        <v>45509</v>
      </c>
      <c r="Q50" s="208">
        <v>45513</v>
      </c>
      <c r="R50" s="147"/>
      <c r="S50" s="149">
        <v>5</v>
      </c>
      <c r="T50" s="149">
        <v>0</v>
      </c>
      <c r="U50" s="149">
        <v>5</v>
      </c>
      <c r="V50" s="149">
        <v>0</v>
      </c>
      <c r="W50" s="148"/>
      <c r="X50" s="148"/>
      <c r="Y50" s="150"/>
      <c r="Z50" s="151">
        <v>0</v>
      </c>
      <c r="AA50" s="149"/>
      <c r="AB50" s="147" t="s">
        <v>1610</v>
      </c>
      <c r="AC50" s="156"/>
      <c r="AD50" s="152">
        <v>0</v>
      </c>
      <c r="AE50" s="155">
        <v>0</v>
      </c>
      <c r="AF50" s="185"/>
      <c r="AG50" s="186"/>
      <c r="AH50" s="186"/>
      <c r="AI50" s="186"/>
      <c r="AJ50" s="186"/>
      <c r="AK50" s="186" t="str">
        <f>" " &amp; TEXT(AE50,"#0.00%") &amp; " " &amp; "생활패턴분석 (주야비분석)" &amp; "(이운주)" &amp; " " &amp; IF(P50="","",TEXT(P50,"M/D-")) &amp; IF(Q50="","",TEXT(Q50,"M/D")) &amp; " "</f>
        <v xml:space="preserve"> 0.00% 생활패턴분석 (주야비분석)(이운주) 8/5-8/9 </v>
      </c>
      <c r="AL50" s="186"/>
      <c r="AM50" s="186"/>
      <c r="AN50" s="186"/>
      <c r="AO50" s="186"/>
      <c r="AP50" s="186"/>
      <c r="AQ50" s="186"/>
    </row>
    <row r="51" spans="1:43" ht="12" customHeight="1" outlineLevel="2">
      <c r="A51" s="146"/>
      <c r="B51" s="146"/>
      <c r="C51" s="146">
        <v>3</v>
      </c>
      <c r="D51" s="153" t="s">
        <v>1549</v>
      </c>
      <c r="E51" s="147"/>
      <c r="F51" s="157"/>
      <c r="G51" s="157" t="s">
        <v>1559</v>
      </c>
      <c r="H51" s="147"/>
      <c r="I51" s="147"/>
      <c r="J51" s="147"/>
      <c r="K51" s="147"/>
      <c r="L51" s="147"/>
      <c r="M51" s="147"/>
      <c r="N51" s="147"/>
      <c r="O51" s="147"/>
      <c r="P51" s="208">
        <v>45509</v>
      </c>
      <c r="Q51" s="208">
        <v>45513</v>
      </c>
      <c r="R51" s="147"/>
      <c r="S51" s="149">
        <v>5</v>
      </c>
      <c r="T51" s="149">
        <v>0</v>
      </c>
      <c r="U51" s="149">
        <v>5</v>
      </c>
      <c r="V51" s="149">
        <v>0</v>
      </c>
      <c r="W51" s="148"/>
      <c r="X51" s="148"/>
      <c r="Y51" s="150"/>
      <c r="Z51" s="151">
        <v>0</v>
      </c>
      <c r="AA51" s="149"/>
      <c r="AB51" s="147" t="s">
        <v>1610</v>
      </c>
      <c r="AC51" s="156"/>
      <c r="AD51" s="152">
        <v>0</v>
      </c>
      <c r="AE51" s="155">
        <v>0</v>
      </c>
      <c r="AF51" s="185"/>
      <c r="AG51" s="186"/>
      <c r="AH51" s="186"/>
      <c r="AI51" s="186"/>
      <c r="AJ51" s="186"/>
      <c r="AK51" s="186" t="str">
        <f>" " &amp; TEXT(AE51,"#0.00%") &amp; " " &amp; "주민등록/생활인구 비교분석" &amp; "(이운주)" &amp; " " &amp; IF(P51="","",TEXT(P51,"M/D-")) &amp; IF(Q51="","",TEXT(Q51,"M/D")) &amp; " "</f>
        <v xml:space="preserve"> 0.00% 주민등록/생활인구 비교분석(이운주) 8/5-8/9 </v>
      </c>
      <c r="AL51" s="186"/>
      <c r="AM51" s="186"/>
      <c r="AN51" s="186"/>
      <c r="AO51" s="186"/>
      <c r="AP51" s="186"/>
      <c r="AQ51" s="186"/>
    </row>
    <row r="52" spans="1:43" ht="12" customHeight="1" outlineLevel="2">
      <c r="A52" s="146"/>
      <c r="B52" s="146"/>
      <c r="C52" s="146">
        <v>3</v>
      </c>
      <c r="D52" s="153" t="s">
        <v>1637</v>
      </c>
      <c r="E52" s="147"/>
      <c r="F52" s="157"/>
      <c r="G52" s="157" t="s">
        <v>1560</v>
      </c>
      <c r="H52" s="147"/>
      <c r="I52" s="147"/>
      <c r="J52" s="147"/>
      <c r="K52" s="147"/>
      <c r="L52" s="147"/>
      <c r="M52" s="147"/>
      <c r="N52" s="147"/>
      <c r="O52" s="157" t="s">
        <v>1636</v>
      </c>
      <c r="P52" s="208">
        <v>45509</v>
      </c>
      <c r="Q52" s="208">
        <v>45513</v>
      </c>
      <c r="R52" s="147"/>
      <c r="S52" s="149">
        <v>5</v>
      </c>
      <c r="T52" s="149">
        <v>0</v>
      </c>
      <c r="U52" s="149">
        <v>5</v>
      </c>
      <c r="V52" s="149">
        <v>0</v>
      </c>
      <c r="W52" s="148"/>
      <c r="X52" s="148"/>
      <c r="Y52" s="150"/>
      <c r="Z52" s="151">
        <v>0</v>
      </c>
      <c r="AA52" s="149"/>
      <c r="AB52" s="147" t="s">
        <v>1610</v>
      </c>
      <c r="AC52" s="156"/>
      <c r="AD52" s="152">
        <v>0</v>
      </c>
      <c r="AE52" s="155">
        <v>0</v>
      </c>
      <c r="AF52" s="185"/>
      <c r="AG52" s="186"/>
      <c r="AH52" s="186"/>
      <c r="AI52" s="186"/>
      <c r="AJ52" s="186"/>
      <c r="AK52" s="186" t="str">
        <f>" " &amp; TEXT(AE52,"#0.00%") &amp; " " &amp; "지역랭킹" &amp; "(이운주)" &amp; " " &amp; IF(P52="","",TEXT(P52,"M/D-")) &amp; IF(Q52="","",TEXT(Q52,"M/D")) &amp; " "</f>
        <v xml:space="preserve"> 0.00% 지역랭킹(이운주) 8/5-8/9 </v>
      </c>
      <c r="AL52" s="186"/>
      <c r="AM52" s="186"/>
      <c r="AN52" s="186"/>
      <c r="AO52" s="186"/>
      <c r="AP52" s="186"/>
      <c r="AQ52" s="186"/>
    </row>
    <row r="53" spans="1:43" ht="12" customHeight="1" outlineLevel="1">
      <c r="A53" s="146"/>
      <c r="B53" s="146" t="s">
        <v>75</v>
      </c>
      <c r="C53" s="146">
        <v>2</v>
      </c>
      <c r="D53" s="153" t="s">
        <v>1619</v>
      </c>
      <c r="E53" s="147"/>
      <c r="F53" s="157" t="s">
        <v>1589</v>
      </c>
      <c r="G53" s="147"/>
      <c r="H53" s="147"/>
      <c r="I53" s="147"/>
      <c r="J53" s="147"/>
      <c r="K53" s="147"/>
      <c r="L53" s="147"/>
      <c r="M53" s="147"/>
      <c r="N53" s="147"/>
      <c r="O53" s="147"/>
      <c r="P53" s="148">
        <v>45516</v>
      </c>
      <c r="Q53" s="148">
        <v>45520</v>
      </c>
      <c r="R53" s="147"/>
      <c r="S53" s="149">
        <v>20</v>
      </c>
      <c r="T53" s="149">
        <v>0</v>
      </c>
      <c r="U53" s="149">
        <v>5</v>
      </c>
      <c r="V53" s="149">
        <v>0</v>
      </c>
      <c r="W53" s="148"/>
      <c r="X53" s="148"/>
      <c r="Y53" s="150">
        <v>0</v>
      </c>
      <c r="Z53" s="151">
        <v>0</v>
      </c>
      <c r="AA53" s="149"/>
      <c r="AB53" s="147"/>
      <c r="AC53" s="156"/>
      <c r="AD53" s="152">
        <v>0</v>
      </c>
      <c r="AE53" s="209">
        <v>0</v>
      </c>
      <c r="AF53" s="185"/>
      <c r="AG53" s="186"/>
      <c r="AH53" s="186"/>
      <c r="AI53" s="186"/>
      <c r="AJ53" s="186"/>
      <c r="AK53" s="186"/>
      <c r="AL53" s="186" t="str">
        <f>" " &amp; TEXT(AE53,"#0.00%") &amp; " " &amp; "체류인구" &amp; " " &amp; IF(P53="","",TEXT(P53,"M/D-")) &amp; IF(Q53="","",TEXT(Q53,"M/D")) &amp; " "</f>
        <v xml:space="preserve"> 0.00% 체류인구 8/12-8/16 </v>
      </c>
      <c r="AM53" s="186"/>
      <c r="AN53" s="186"/>
      <c r="AO53" s="186"/>
      <c r="AP53" s="186"/>
      <c r="AQ53" s="186"/>
    </row>
    <row r="54" spans="1:43" ht="12" customHeight="1" outlineLevel="2">
      <c r="A54" s="146"/>
      <c r="B54" s="146"/>
      <c r="C54" s="146">
        <v>3</v>
      </c>
      <c r="D54" s="153" t="s">
        <v>1620</v>
      </c>
      <c r="E54" s="147"/>
      <c r="F54" s="157"/>
      <c r="G54" s="157" t="s">
        <v>1590</v>
      </c>
      <c r="H54" s="147"/>
      <c r="I54" s="147"/>
      <c r="J54" s="147"/>
      <c r="K54" s="147"/>
      <c r="L54" s="147"/>
      <c r="M54" s="147"/>
      <c r="N54" s="147"/>
      <c r="O54" s="147"/>
      <c r="P54" s="208">
        <v>45516</v>
      </c>
      <c r="Q54" s="208">
        <v>45520</v>
      </c>
      <c r="R54" s="147"/>
      <c r="S54" s="149">
        <v>5</v>
      </c>
      <c r="T54" s="149">
        <v>0</v>
      </c>
      <c r="U54" s="149">
        <v>5</v>
      </c>
      <c r="V54" s="149">
        <v>0</v>
      </c>
      <c r="W54" s="148"/>
      <c r="X54" s="148"/>
      <c r="Y54" s="150"/>
      <c r="Z54" s="151">
        <v>0</v>
      </c>
      <c r="AA54" s="149"/>
      <c r="AB54" s="147" t="s">
        <v>1610</v>
      </c>
      <c r="AC54" s="156"/>
      <c r="AD54" s="152">
        <v>0</v>
      </c>
      <c r="AE54" s="155">
        <v>0</v>
      </c>
      <c r="AF54" s="185"/>
      <c r="AG54" s="186"/>
      <c r="AH54" s="186"/>
      <c r="AI54" s="186"/>
      <c r="AJ54" s="186"/>
      <c r="AK54" s="186"/>
      <c r="AL54" s="186" t="str">
        <f>" " &amp; TEXT(AE54,"#0.00%") &amp; " " &amp; "종합 체류인구 분석" &amp; "(이운주)" &amp; " " &amp; IF(P54="","",TEXT(P54,"M/D-")) &amp; IF(Q54="","",TEXT(Q54,"M/D")) &amp; " "</f>
        <v xml:space="preserve"> 0.00% 종합 체류인구 분석(이운주) 8/12-8/16 </v>
      </c>
      <c r="AM54" s="186"/>
      <c r="AN54" s="186"/>
      <c r="AO54" s="186"/>
      <c r="AP54" s="186"/>
      <c r="AQ54" s="186"/>
    </row>
    <row r="55" spans="1:43" ht="12" customHeight="1" outlineLevel="2">
      <c r="A55" s="146"/>
      <c r="B55" s="146"/>
      <c r="C55" s="146">
        <v>3</v>
      </c>
      <c r="D55" s="153" t="s">
        <v>1621</v>
      </c>
      <c r="E55" s="147"/>
      <c r="F55" s="157"/>
      <c r="G55" s="157" t="s">
        <v>1591</v>
      </c>
      <c r="H55" s="147"/>
      <c r="I55" s="147"/>
      <c r="J55" s="147"/>
      <c r="K55" s="147"/>
      <c r="L55" s="147"/>
      <c r="M55" s="147"/>
      <c r="N55" s="147"/>
      <c r="O55" s="147"/>
      <c r="P55" s="208">
        <v>45516</v>
      </c>
      <c r="Q55" s="208">
        <v>45520</v>
      </c>
      <c r="R55" s="147"/>
      <c r="S55" s="149">
        <v>5</v>
      </c>
      <c r="T55" s="149">
        <v>0</v>
      </c>
      <c r="U55" s="149">
        <v>5</v>
      </c>
      <c r="V55" s="149">
        <v>0</v>
      </c>
      <c r="W55" s="148"/>
      <c r="X55" s="148"/>
      <c r="Y55" s="150"/>
      <c r="Z55" s="151">
        <v>0</v>
      </c>
      <c r="AA55" s="149"/>
      <c r="AB55" s="147" t="s">
        <v>1610</v>
      </c>
      <c r="AC55" s="156"/>
      <c r="AD55" s="152">
        <v>0</v>
      </c>
      <c r="AE55" s="155">
        <v>0</v>
      </c>
      <c r="AF55" s="185"/>
      <c r="AG55" s="186"/>
      <c r="AH55" s="186"/>
      <c r="AI55" s="186"/>
      <c r="AJ55" s="186"/>
      <c r="AK55" s="186"/>
      <c r="AL55" s="186" t="str">
        <f>" " &amp; TEXT(AE55,"#0.00%") &amp; " " &amp; "법제화생활인구 분석(가칭)" &amp; "(이운주)" &amp; " " &amp; IF(P55="","",TEXT(P55,"M/D-")) &amp; IF(Q55="","",TEXT(Q55,"M/D")) &amp; " "</f>
        <v xml:space="preserve"> 0.00% 법제화생활인구 분석(가칭)(이운주) 8/12-8/16 </v>
      </c>
      <c r="AM55" s="186"/>
      <c r="AN55" s="186"/>
      <c r="AO55" s="186"/>
      <c r="AP55" s="186"/>
      <c r="AQ55" s="186"/>
    </row>
    <row r="56" spans="1:43" ht="12" customHeight="1" outlineLevel="2">
      <c r="A56" s="146"/>
      <c r="B56" s="146"/>
      <c r="C56" s="146">
        <v>3</v>
      </c>
      <c r="D56" s="153" t="s">
        <v>1622</v>
      </c>
      <c r="E56" s="147"/>
      <c r="F56" s="157"/>
      <c r="G56" s="157" t="s">
        <v>1592</v>
      </c>
      <c r="H56" s="147"/>
      <c r="I56" s="147"/>
      <c r="J56" s="147"/>
      <c r="K56" s="147"/>
      <c r="L56" s="147"/>
      <c r="M56" s="147"/>
      <c r="N56" s="147"/>
      <c r="O56" s="147"/>
      <c r="P56" s="208">
        <v>45516</v>
      </c>
      <c r="Q56" s="208">
        <v>45520</v>
      </c>
      <c r="R56" s="147"/>
      <c r="S56" s="149">
        <v>5</v>
      </c>
      <c r="T56" s="149">
        <v>0</v>
      </c>
      <c r="U56" s="149">
        <v>5</v>
      </c>
      <c r="V56" s="149">
        <v>0</v>
      </c>
      <c r="W56" s="148"/>
      <c r="X56" s="148"/>
      <c r="Y56" s="150"/>
      <c r="Z56" s="151">
        <v>0</v>
      </c>
      <c r="AA56" s="149"/>
      <c r="AB56" s="147" t="s">
        <v>1610</v>
      </c>
      <c r="AC56" s="156"/>
      <c r="AD56" s="152">
        <v>0</v>
      </c>
      <c r="AE56" s="155">
        <v>0</v>
      </c>
      <c r="AF56" s="185"/>
      <c r="AG56" s="186"/>
      <c r="AH56" s="186"/>
      <c r="AI56" s="186"/>
      <c r="AJ56" s="186"/>
      <c r="AK56" s="186"/>
      <c r="AL56" s="186" t="str">
        <f>" " &amp; TEXT(AE56,"#0.00%") &amp; " " &amp; "시간별 체류인구 분석" &amp; "(이운주)" &amp; " " &amp; IF(P56="","",TEXT(P56,"M/D-")) &amp; IF(Q56="","",TEXT(Q56,"M/D")) &amp; " "</f>
        <v xml:space="preserve"> 0.00% 시간별 체류인구 분석(이운주) 8/12-8/16 </v>
      </c>
      <c r="AM56" s="186"/>
      <c r="AN56" s="186"/>
      <c r="AO56" s="186"/>
      <c r="AP56" s="186"/>
      <c r="AQ56" s="186"/>
    </row>
    <row r="57" spans="1:43" ht="12" customHeight="1" outlineLevel="2">
      <c r="A57" s="146"/>
      <c r="B57" s="146"/>
      <c r="C57" s="146">
        <v>3</v>
      </c>
      <c r="D57" s="153" t="s">
        <v>1638</v>
      </c>
      <c r="E57" s="147"/>
      <c r="F57" s="157"/>
      <c r="G57" s="157" t="s">
        <v>1560</v>
      </c>
      <c r="H57" s="147"/>
      <c r="I57" s="147"/>
      <c r="J57" s="147"/>
      <c r="K57" s="147"/>
      <c r="L57" s="147"/>
      <c r="M57" s="147"/>
      <c r="N57" s="147"/>
      <c r="O57" s="157" t="s">
        <v>1636</v>
      </c>
      <c r="P57" s="208">
        <v>45516</v>
      </c>
      <c r="Q57" s="208">
        <v>45520</v>
      </c>
      <c r="R57" s="147"/>
      <c r="S57" s="149">
        <v>5</v>
      </c>
      <c r="T57" s="149">
        <v>0</v>
      </c>
      <c r="U57" s="149">
        <v>5</v>
      </c>
      <c r="V57" s="149">
        <v>0</v>
      </c>
      <c r="W57" s="148"/>
      <c r="X57" s="148"/>
      <c r="Y57" s="150"/>
      <c r="Z57" s="151">
        <v>0</v>
      </c>
      <c r="AA57" s="149"/>
      <c r="AB57" s="147" t="s">
        <v>1610</v>
      </c>
      <c r="AC57" s="156"/>
      <c r="AD57" s="152">
        <v>0</v>
      </c>
      <c r="AE57" s="155">
        <v>0</v>
      </c>
      <c r="AF57" s="185"/>
      <c r="AG57" s="186"/>
      <c r="AH57" s="186"/>
      <c r="AI57" s="186"/>
      <c r="AJ57" s="186"/>
      <c r="AK57" s="186"/>
      <c r="AL57" s="186" t="str">
        <f>" " &amp; TEXT(AE57,"#0.00%") &amp; " " &amp; "지역랭킹" &amp; "(이운주)" &amp; " " &amp; IF(P57="","",TEXT(P57,"M/D-")) &amp; IF(Q57="","",TEXT(Q57,"M/D")) &amp; " "</f>
        <v xml:space="preserve"> 0.00% 지역랭킹(이운주) 8/12-8/16 </v>
      </c>
      <c r="AM57" s="186"/>
      <c r="AN57" s="186"/>
      <c r="AO57" s="186"/>
      <c r="AP57" s="186"/>
      <c r="AQ57" s="186"/>
    </row>
    <row r="58" spans="1:43" ht="12" customHeight="1" outlineLevel="1">
      <c r="A58" s="146"/>
      <c r="B58" s="146" t="s">
        <v>75</v>
      </c>
      <c r="C58" s="146">
        <v>2</v>
      </c>
      <c r="D58" s="153" t="s">
        <v>1623</v>
      </c>
      <c r="E58" s="147"/>
      <c r="F58" s="157" t="s">
        <v>1557</v>
      </c>
      <c r="G58" s="147"/>
      <c r="H58" s="147"/>
      <c r="I58" s="147"/>
      <c r="J58" s="147"/>
      <c r="K58" s="147"/>
      <c r="L58" s="147"/>
      <c r="M58" s="147"/>
      <c r="N58" s="147"/>
      <c r="O58" s="147"/>
      <c r="P58" s="148">
        <v>45523</v>
      </c>
      <c r="Q58" s="148">
        <v>45534</v>
      </c>
      <c r="R58" s="147"/>
      <c r="S58" s="149">
        <v>25</v>
      </c>
      <c r="T58" s="149">
        <v>0</v>
      </c>
      <c r="U58" s="149">
        <v>10</v>
      </c>
      <c r="V58" s="149">
        <v>0</v>
      </c>
      <c r="W58" s="148"/>
      <c r="X58" s="148"/>
      <c r="Y58" s="150">
        <v>0</v>
      </c>
      <c r="Z58" s="151">
        <v>0</v>
      </c>
      <c r="AA58" s="149"/>
      <c r="AB58" s="147"/>
      <c r="AC58" s="156"/>
      <c r="AD58" s="152">
        <v>0</v>
      </c>
      <c r="AE58" s="209">
        <v>0</v>
      </c>
      <c r="AF58" s="185"/>
      <c r="AG58" s="186"/>
      <c r="AH58" s="186"/>
      <c r="AI58" s="186"/>
      <c r="AJ58" s="186"/>
      <c r="AK58" s="186"/>
      <c r="AL58" s="186"/>
      <c r="AM58" s="186" t="str">
        <f>" " &amp; TEXT(AE58,"#0.00%") &amp; " " &amp; "생활이동데이터" &amp; " " &amp; IF(P58="","",TEXT(P58,"M/D-")) &amp; IF(Q58="","",TEXT(Q58,"M/D")) &amp; " "</f>
        <v xml:space="preserve"> 0.00% 생활이동데이터 8/19-8/30 </v>
      </c>
      <c r="AN58" s="186"/>
      <c r="AO58" s="186"/>
      <c r="AP58" s="186"/>
      <c r="AQ58" s="186"/>
    </row>
    <row r="59" spans="1:43" ht="12" customHeight="1" outlineLevel="2">
      <c r="A59" s="146"/>
      <c r="B59" s="146"/>
      <c r="C59" s="146">
        <v>3</v>
      </c>
      <c r="D59" s="153" t="s">
        <v>1624</v>
      </c>
      <c r="E59" s="147"/>
      <c r="F59" s="157"/>
      <c r="G59" s="157" t="s">
        <v>1586</v>
      </c>
      <c r="H59" s="147"/>
      <c r="I59" s="147"/>
      <c r="J59" s="147"/>
      <c r="K59" s="147"/>
      <c r="L59" s="147"/>
      <c r="M59" s="147"/>
      <c r="N59" s="147"/>
      <c r="O59" s="147"/>
      <c r="P59" s="208">
        <v>45530</v>
      </c>
      <c r="Q59" s="208">
        <v>45534</v>
      </c>
      <c r="R59" s="136"/>
      <c r="S59" s="149">
        <v>5</v>
      </c>
      <c r="T59" s="149">
        <v>0</v>
      </c>
      <c r="U59" s="149">
        <v>5</v>
      </c>
      <c r="V59" s="149">
        <v>0</v>
      </c>
      <c r="W59" s="148"/>
      <c r="X59" s="148"/>
      <c r="Y59" s="150"/>
      <c r="Z59" s="151">
        <v>0</v>
      </c>
      <c r="AA59" s="149"/>
      <c r="AB59" s="147" t="s">
        <v>1610</v>
      </c>
      <c r="AC59" s="156"/>
      <c r="AD59" s="152">
        <v>0</v>
      </c>
      <c r="AE59" s="155">
        <v>0</v>
      </c>
      <c r="AF59" s="185"/>
      <c r="AG59" s="186"/>
      <c r="AH59" s="186"/>
      <c r="AI59" s="186"/>
      <c r="AJ59" s="186"/>
      <c r="AK59" s="186"/>
      <c r="AL59" s="186"/>
      <c r="AM59" s="186"/>
      <c r="AN59" s="186" t="str">
        <f>" " &amp; TEXT(AE59,"#0.00%") &amp; " " &amp; "종합생활이동분석" &amp; "(이운주)" &amp; " " &amp; IF(P59="","",TEXT(P59,"M/D-")) &amp; IF(Q59="","",TEXT(Q59,"M/D")) &amp; " "</f>
        <v xml:space="preserve"> 0.00% 종합생활이동분석(이운주) 8/26-8/30 </v>
      </c>
      <c r="AO59" s="186"/>
      <c r="AP59" s="186"/>
      <c r="AQ59" s="186"/>
    </row>
    <row r="60" spans="1:43" ht="12" customHeight="1" outlineLevel="2">
      <c r="A60" s="146"/>
      <c r="B60" s="146"/>
      <c r="C60" s="146">
        <v>3</v>
      </c>
      <c r="D60" s="153" t="s">
        <v>1625</v>
      </c>
      <c r="E60" s="147"/>
      <c r="F60" s="157"/>
      <c r="G60" s="157" t="s">
        <v>1561</v>
      </c>
      <c r="H60" s="147"/>
      <c r="I60" s="147"/>
      <c r="J60" s="147"/>
      <c r="K60" s="147"/>
      <c r="L60" s="147"/>
      <c r="M60" s="147"/>
      <c r="N60" s="147"/>
      <c r="O60" s="147"/>
      <c r="P60" s="208">
        <v>45523</v>
      </c>
      <c r="Q60" s="208">
        <v>45527</v>
      </c>
      <c r="R60" s="136"/>
      <c r="S60" s="149">
        <v>5</v>
      </c>
      <c r="T60" s="149">
        <v>0</v>
      </c>
      <c r="U60" s="149">
        <v>5</v>
      </c>
      <c r="V60" s="149">
        <v>0</v>
      </c>
      <c r="W60" s="148"/>
      <c r="X60" s="148"/>
      <c r="Y60" s="150"/>
      <c r="Z60" s="151">
        <v>0</v>
      </c>
      <c r="AA60" s="149"/>
      <c r="AB60" s="147" t="s">
        <v>1610</v>
      </c>
      <c r="AC60" s="156"/>
      <c r="AD60" s="152">
        <v>0</v>
      </c>
      <c r="AE60" s="155">
        <v>0</v>
      </c>
      <c r="AF60" s="185"/>
      <c r="AG60" s="186"/>
      <c r="AH60" s="186"/>
      <c r="AI60" s="186"/>
      <c r="AJ60" s="186"/>
      <c r="AK60" s="186"/>
      <c r="AL60" s="186"/>
      <c r="AM60" s="186" t="str">
        <f>" " &amp; TEXT(AE60,"#0.00%") &amp; " " &amp; "생활이동현황(유입/유출)" &amp; "(이운주)" &amp; " " &amp; IF(P60="","",TEXT(P60,"M/D-")) &amp; IF(Q60="","",TEXT(Q60,"M/D")) &amp; " "</f>
        <v xml:space="preserve"> 0.00% 생활이동현황(유입/유출)(이운주) 8/19-8/23 </v>
      </c>
      <c r="AN60" s="186"/>
      <c r="AO60" s="186"/>
      <c r="AP60" s="186"/>
      <c r="AQ60" s="186"/>
    </row>
    <row r="61" spans="1:43" ht="12" customHeight="1" outlineLevel="2">
      <c r="A61" s="146"/>
      <c r="B61" s="146"/>
      <c r="C61" s="146">
        <v>3</v>
      </c>
      <c r="D61" s="153" t="s">
        <v>1626</v>
      </c>
      <c r="E61" s="147"/>
      <c r="F61" s="157"/>
      <c r="G61" s="157" t="s">
        <v>1562</v>
      </c>
      <c r="H61" s="147"/>
      <c r="I61" s="147"/>
      <c r="J61" s="147"/>
      <c r="K61" s="147"/>
      <c r="L61" s="147"/>
      <c r="M61" s="147"/>
      <c r="N61" s="147"/>
      <c r="O61" s="147"/>
      <c r="P61" s="208">
        <v>45523</v>
      </c>
      <c r="Q61" s="208">
        <v>45527</v>
      </c>
      <c r="R61" s="136"/>
      <c r="S61" s="149">
        <v>5</v>
      </c>
      <c r="T61" s="149">
        <v>0</v>
      </c>
      <c r="U61" s="149">
        <v>5</v>
      </c>
      <c r="V61" s="149">
        <v>0</v>
      </c>
      <c r="W61" s="148"/>
      <c r="X61" s="148"/>
      <c r="Y61" s="150"/>
      <c r="Z61" s="151">
        <v>0</v>
      </c>
      <c r="AA61" s="149"/>
      <c r="AB61" s="147" t="s">
        <v>1610</v>
      </c>
      <c r="AC61" s="156"/>
      <c r="AD61" s="152">
        <v>0</v>
      </c>
      <c r="AE61" s="155">
        <v>0</v>
      </c>
      <c r="AF61" s="185"/>
      <c r="AG61" s="186"/>
      <c r="AH61" s="186"/>
      <c r="AI61" s="186"/>
      <c r="AJ61" s="186"/>
      <c r="AK61" s="186"/>
      <c r="AL61" s="186"/>
      <c r="AM61" s="186" t="str">
        <f>" " &amp; TEXT(AE61,"#0.00%") &amp; " " &amp; "이동목적분석" &amp; "(이운주)" &amp; " " &amp; IF(P61="","",TEXT(P61,"M/D-")) &amp; IF(Q61="","",TEXT(Q61,"M/D")) &amp; " "</f>
        <v xml:space="preserve"> 0.00% 이동목적분석(이운주) 8/19-8/23 </v>
      </c>
      <c r="AN61" s="186"/>
      <c r="AO61" s="186"/>
      <c r="AP61" s="186"/>
      <c r="AQ61" s="186"/>
    </row>
    <row r="62" spans="1:43" ht="12" customHeight="1" outlineLevel="2">
      <c r="A62" s="146"/>
      <c r="B62" s="146"/>
      <c r="C62" s="146">
        <v>3</v>
      </c>
      <c r="D62" s="153" t="s">
        <v>1627</v>
      </c>
      <c r="E62" s="147"/>
      <c r="F62" s="157"/>
      <c r="G62" s="157" t="s">
        <v>1563</v>
      </c>
      <c r="H62" s="147"/>
      <c r="I62" s="147"/>
      <c r="J62" s="147"/>
      <c r="K62" s="147"/>
      <c r="L62" s="147"/>
      <c r="M62" s="147"/>
      <c r="N62" s="147"/>
      <c r="O62" s="147"/>
      <c r="P62" s="208">
        <v>45523</v>
      </c>
      <c r="Q62" s="208">
        <v>45527</v>
      </c>
      <c r="R62" s="136"/>
      <c r="S62" s="149">
        <v>5</v>
      </c>
      <c r="T62" s="149">
        <v>0</v>
      </c>
      <c r="U62" s="149">
        <v>5</v>
      </c>
      <c r="V62" s="149">
        <v>0</v>
      </c>
      <c r="W62" s="148"/>
      <c r="X62" s="148"/>
      <c r="Y62" s="150"/>
      <c r="Z62" s="151">
        <v>0</v>
      </c>
      <c r="AA62" s="149"/>
      <c r="AB62" s="147" t="s">
        <v>1610</v>
      </c>
      <c r="AC62" s="156"/>
      <c r="AD62" s="152">
        <v>0</v>
      </c>
      <c r="AE62" s="155">
        <v>0</v>
      </c>
      <c r="AF62" s="185"/>
      <c r="AG62" s="186"/>
      <c r="AH62" s="186"/>
      <c r="AI62" s="186"/>
      <c r="AJ62" s="186"/>
      <c r="AK62" s="186"/>
      <c r="AL62" s="186"/>
      <c r="AM62" s="186" t="str">
        <f>" " &amp; TEXT(AE62,"#0.00%") &amp; " " &amp; "이동수단분석" &amp; "(이운주)" &amp; " " &amp; IF(P62="","",TEXT(P62,"M/D-")) &amp; IF(Q62="","",TEXT(Q62,"M/D")) &amp; " "</f>
        <v xml:space="preserve"> 0.00% 이동수단분석(이운주) 8/19-8/23 </v>
      </c>
      <c r="AN62" s="186"/>
      <c r="AO62" s="186"/>
      <c r="AP62" s="186"/>
      <c r="AQ62" s="186"/>
    </row>
    <row r="63" spans="1:43" ht="12" customHeight="1" outlineLevel="2">
      <c r="A63" s="146"/>
      <c r="B63" s="146"/>
      <c r="C63" s="146">
        <v>3</v>
      </c>
      <c r="D63" s="153" t="s">
        <v>1628</v>
      </c>
      <c r="E63" s="147"/>
      <c r="F63" s="157"/>
      <c r="G63" s="157" t="s">
        <v>1560</v>
      </c>
      <c r="H63" s="147"/>
      <c r="I63" s="147"/>
      <c r="J63" s="147"/>
      <c r="K63" s="147"/>
      <c r="L63" s="147"/>
      <c r="M63" s="147"/>
      <c r="N63" s="147"/>
      <c r="O63" s="157" t="s">
        <v>1636</v>
      </c>
      <c r="P63" s="208">
        <v>45523</v>
      </c>
      <c r="Q63" s="208">
        <v>45527</v>
      </c>
      <c r="R63" s="136"/>
      <c r="S63" s="149">
        <v>5</v>
      </c>
      <c r="T63" s="149">
        <v>0</v>
      </c>
      <c r="U63" s="149">
        <v>5</v>
      </c>
      <c r="V63" s="149">
        <v>0</v>
      </c>
      <c r="W63" s="148"/>
      <c r="X63" s="148"/>
      <c r="Y63" s="150"/>
      <c r="Z63" s="151">
        <v>0</v>
      </c>
      <c r="AA63" s="149"/>
      <c r="AB63" s="147" t="s">
        <v>1610</v>
      </c>
      <c r="AC63" s="156"/>
      <c r="AD63" s="152">
        <v>0</v>
      </c>
      <c r="AE63" s="155">
        <v>0</v>
      </c>
      <c r="AF63" s="185"/>
      <c r="AG63" s="186"/>
      <c r="AH63" s="186"/>
      <c r="AI63" s="186"/>
      <c r="AJ63" s="186"/>
      <c r="AK63" s="186"/>
      <c r="AL63" s="186"/>
      <c r="AM63" s="186" t="str">
        <f>" " &amp; TEXT(AE63,"#0.00%") &amp; " " &amp; "지역랭킹" &amp; "(이운주)" &amp; " " &amp; IF(P63="","",TEXT(P63,"M/D-")) &amp; IF(Q63="","",TEXT(Q63,"M/D")) &amp; " "</f>
        <v xml:space="preserve"> 0.00% 지역랭킹(이운주) 8/19-8/23 </v>
      </c>
      <c r="AN63" s="186"/>
      <c r="AO63" s="186"/>
      <c r="AP63" s="186"/>
      <c r="AQ63" s="186"/>
    </row>
    <row r="64" spans="1:43" ht="12" customHeight="1" outlineLevel="1">
      <c r="A64" s="146"/>
      <c r="B64" s="146" t="s">
        <v>75</v>
      </c>
      <c r="C64" s="146">
        <v>2</v>
      </c>
      <c r="D64" s="153" t="s">
        <v>1629</v>
      </c>
      <c r="E64" s="147"/>
      <c r="F64" s="157" t="s">
        <v>1597</v>
      </c>
      <c r="G64" s="147"/>
      <c r="H64" s="147"/>
      <c r="I64" s="147"/>
      <c r="J64" s="147"/>
      <c r="K64" s="147"/>
      <c r="L64" s="147"/>
      <c r="M64" s="147"/>
      <c r="N64" s="147"/>
      <c r="O64" s="147"/>
      <c r="P64" s="148">
        <v>45530</v>
      </c>
      <c r="Q64" s="148">
        <v>45548</v>
      </c>
      <c r="R64" s="147"/>
      <c r="S64" s="149">
        <v>15</v>
      </c>
      <c r="T64" s="149">
        <v>0</v>
      </c>
      <c r="U64" s="149">
        <v>15</v>
      </c>
      <c r="V64" s="149">
        <v>0</v>
      </c>
      <c r="W64" s="148"/>
      <c r="X64" s="148"/>
      <c r="Y64" s="150">
        <v>0</v>
      </c>
      <c r="Z64" s="151">
        <v>0</v>
      </c>
      <c r="AA64" s="149"/>
      <c r="AB64" s="147"/>
      <c r="AC64" s="156"/>
      <c r="AD64" s="152">
        <v>0</v>
      </c>
      <c r="AE64" s="209">
        <v>0</v>
      </c>
      <c r="AF64" s="185"/>
      <c r="AG64" s="186"/>
      <c r="AH64" s="186"/>
      <c r="AI64" s="186"/>
      <c r="AJ64" s="186"/>
      <c r="AK64" s="186"/>
      <c r="AL64" s="186"/>
      <c r="AM64" s="186"/>
      <c r="AN64" s="186" t="str">
        <f>" " &amp; TEXT(AE64,"#0.00%") &amp; " " &amp; "기타" &amp; " " &amp; IF(P64="","",TEXT(P64,"M/D-")) &amp; IF(Q64="","",TEXT(Q64,"M/D")) &amp; " "</f>
        <v xml:space="preserve"> 0.00% 기타 8/26-9/13 </v>
      </c>
      <c r="AO64" s="186"/>
      <c r="AP64" s="186"/>
      <c r="AQ64" s="186"/>
    </row>
    <row r="65" spans="1:43" ht="12" customHeight="1" outlineLevel="2">
      <c r="A65" s="146"/>
      <c r="B65" s="146"/>
      <c r="C65" s="146">
        <v>3</v>
      </c>
      <c r="D65" s="153" t="s">
        <v>1630</v>
      </c>
      <c r="E65" s="147"/>
      <c r="F65" s="157"/>
      <c r="G65" s="157" t="s">
        <v>1564</v>
      </c>
      <c r="H65" s="147"/>
      <c r="I65" s="147"/>
      <c r="J65" s="147"/>
      <c r="K65" s="147"/>
      <c r="L65" s="147"/>
      <c r="M65" s="147"/>
      <c r="N65" s="147"/>
      <c r="O65" s="147"/>
      <c r="P65" s="208">
        <v>45530</v>
      </c>
      <c r="Q65" s="208">
        <v>45534</v>
      </c>
      <c r="R65" s="147"/>
      <c r="S65" s="149">
        <v>5</v>
      </c>
      <c r="T65" s="149">
        <v>0</v>
      </c>
      <c r="U65" s="149">
        <v>5</v>
      </c>
      <c r="V65" s="149">
        <v>0</v>
      </c>
      <c r="W65" s="148"/>
      <c r="X65" s="148"/>
      <c r="Y65" s="150"/>
      <c r="Z65" s="151">
        <v>0</v>
      </c>
      <c r="AA65" s="149"/>
      <c r="AB65" s="147" t="s">
        <v>1610</v>
      </c>
      <c r="AC65" s="156"/>
      <c r="AD65" s="152">
        <v>0</v>
      </c>
      <c r="AE65" s="155">
        <v>0</v>
      </c>
      <c r="AF65" s="185"/>
      <c r="AG65" s="186"/>
      <c r="AH65" s="186"/>
      <c r="AI65" s="186"/>
      <c r="AJ65" s="186"/>
      <c r="AK65" s="186"/>
      <c r="AL65" s="186"/>
      <c r="AM65" s="186"/>
      <c r="AN65" s="186" t="str">
        <f>" " &amp; TEXT(AE65,"#0.00%") &amp; " " &amp; "관리자" &amp; "(이운주)" &amp; " " &amp; IF(P65="","",TEXT(P65,"M/D-")) &amp; IF(Q65="","",TEXT(Q65,"M/D")) &amp; " "</f>
        <v xml:space="preserve"> 0.00% 관리자(이운주) 8/26-8/30 </v>
      </c>
      <c r="AO65" s="186"/>
      <c r="AP65" s="186"/>
      <c r="AQ65" s="186"/>
    </row>
    <row r="66" spans="1:43" ht="12" customHeight="1" outlineLevel="2">
      <c r="A66" s="146"/>
      <c r="B66" s="146"/>
      <c r="C66" s="146">
        <v>3</v>
      </c>
      <c r="D66" s="153" t="s">
        <v>1631</v>
      </c>
      <c r="E66" s="147"/>
      <c r="F66" s="157"/>
      <c r="G66" s="157" t="s">
        <v>1569</v>
      </c>
      <c r="H66" s="147"/>
      <c r="I66" s="147"/>
      <c r="J66" s="147"/>
      <c r="K66" s="147"/>
      <c r="L66" s="147"/>
      <c r="M66" s="147"/>
      <c r="N66" s="147"/>
      <c r="O66" s="147"/>
      <c r="P66" s="148">
        <v>45537</v>
      </c>
      <c r="Q66" s="148">
        <v>45548</v>
      </c>
      <c r="R66" s="147"/>
      <c r="S66" s="149">
        <v>10</v>
      </c>
      <c r="T66" s="149">
        <v>0</v>
      </c>
      <c r="U66" s="149">
        <v>10</v>
      </c>
      <c r="V66" s="149">
        <v>0</v>
      </c>
      <c r="W66" s="148"/>
      <c r="X66" s="148"/>
      <c r="Y66" s="150"/>
      <c r="Z66" s="151">
        <v>0</v>
      </c>
      <c r="AA66" s="149"/>
      <c r="AB66" s="147" t="s">
        <v>1610</v>
      </c>
      <c r="AC66" s="156"/>
      <c r="AD66" s="152">
        <v>0</v>
      </c>
      <c r="AE66" s="155">
        <v>0</v>
      </c>
      <c r="AF66" s="185"/>
      <c r="AG66" s="186"/>
      <c r="AH66" s="186"/>
      <c r="AI66" s="186"/>
      <c r="AJ66" s="186"/>
      <c r="AK66" s="186"/>
      <c r="AL66" s="186"/>
      <c r="AM66" s="186"/>
      <c r="AN66" s="186"/>
      <c r="AO66" s="186" t="str">
        <f>" " &amp; TEXT(AE66,"#0.00%") &amp; " " &amp; "서비스소개" &amp; "(이운주)" &amp; " " &amp; IF(P66="","",TEXT(P66,"M/D-")) &amp; IF(Q66="","",TEXT(Q66,"M/D")) &amp; " "</f>
        <v xml:space="preserve"> 0.00% 서비스소개(이운주) 9/2-9/13 </v>
      </c>
      <c r="AP66" s="186"/>
      <c r="AQ66" s="186"/>
    </row>
    <row r="67" spans="1:43" ht="12" customHeight="1" outlineLevel="1">
      <c r="A67" s="146"/>
      <c r="B67" s="146" t="s">
        <v>75</v>
      </c>
      <c r="C67" s="146">
        <v>2</v>
      </c>
      <c r="D67" s="153" t="s">
        <v>1632</v>
      </c>
      <c r="E67" s="147"/>
      <c r="F67" s="147" t="s">
        <v>1578</v>
      </c>
      <c r="G67" s="147"/>
      <c r="H67" s="147"/>
      <c r="I67" s="147"/>
      <c r="J67" s="147"/>
      <c r="K67" s="147"/>
      <c r="L67" s="147"/>
      <c r="M67" s="147"/>
      <c r="N67" s="147"/>
      <c r="O67" s="147"/>
      <c r="P67" s="148">
        <v>45537</v>
      </c>
      <c r="Q67" s="148">
        <v>45548</v>
      </c>
      <c r="R67" s="147"/>
      <c r="S67" s="149">
        <v>30</v>
      </c>
      <c r="T67" s="149">
        <v>0</v>
      </c>
      <c r="U67" s="149">
        <v>10</v>
      </c>
      <c r="V67" s="149">
        <v>0</v>
      </c>
      <c r="W67" s="148"/>
      <c r="X67" s="148"/>
      <c r="Y67" s="150">
        <v>0</v>
      </c>
      <c r="Z67" s="151">
        <v>0</v>
      </c>
      <c r="AA67" s="149"/>
      <c r="AB67" s="147"/>
      <c r="AC67" s="156"/>
      <c r="AD67" s="152">
        <v>0</v>
      </c>
      <c r="AE67" s="209">
        <v>0</v>
      </c>
      <c r="AF67" s="185"/>
      <c r="AG67" s="186"/>
      <c r="AH67" s="186"/>
      <c r="AI67" s="186"/>
      <c r="AJ67" s="186"/>
      <c r="AK67" s="186"/>
      <c r="AL67" s="186"/>
      <c r="AM67" s="186"/>
      <c r="AN67" s="186"/>
      <c r="AO67" s="186" t="str">
        <f>" " &amp; TEXT(AE67,"#0.00%") &amp; " " &amp; "18개 시도 웹ASP" &amp; " " &amp; IF(P67="","",TEXT(P67,"M/D-")) &amp; IF(Q67="","",TEXT(Q67,"M/D")) &amp; " "</f>
        <v xml:space="preserve"> 0.00% 18개 시도 웹ASP 9/2-9/13 </v>
      </c>
      <c r="AP67" s="186"/>
      <c r="AQ67" s="186"/>
    </row>
    <row r="68" spans="1:43" ht="12" customHeight="1" outlineLevel="2">
      <c r="A68" s="146"/>
      <c r="B68" s="146"/>
      <c r="C68" s="146">
        <v>3</v>
      </c>
      <c r="D68" s="153" t="s">
        <v>1633</v>
      </c>
      <c r="E68" s="147"/>
      <c r="F68" s="147"/>
      <c r="G68" s="147" t="s">
        <v>1577</v>
      </c>
      <c r="H68" s="147"/>
      <c r="I68" s="147"/>
      <c r="J68" s="147"/>
      <c r="K68" s="147"/>
      <c r="L68" s="147"/>
      <c r="M68" s="147"/>
      <c r="N68" s="147"/>
      <c r="O68" s="147"/>
      <c r="P68" s="148">
        <v>45537</v>
      </c>
      <c r="Q68" s="148">
        <v>45548</v>
      </c>
      <c r="R68" s="147"/>
      <c r="S68" s="149">
        <v>10</v>
      </c>
      <c r="T68" s="149">
        <v>0</v>
      </c>
      <c r="U68" s="149">
        <v>10</v>
      </c>
      <c r="V68" s="149">
        <v>0</v>
      </c>
      <c r="W68" s="148"/>
      <c r="X68" s="148"/>
      <c r="Y68" s="150"/>
      <c r="Z68" s="151">
        <v>0</v>
      </c>
      <c r="AA68" s="149"/>
      <c r="AB68" s="147" t="s">
        <v>1610</v>
      </c>
      <c r="AC68" s="156"/>
      <c r="AD68" s="152">
        <v>0</v>
      </c>
      <c r="AE68" s="155">
        <v>0</v>
      </c>
      <c r="AF68" s="185"/>
      <c r="AG68" s="186"/>
      <c r="AH68" s="186"/>
      <c r="AI68" s="186"/>
      <c r="AJ68" s="186"/>
      <c r="AK68" s="186"/>
      <c r="AL68" s="186"/>
      <c r="AM68" s="186"/>
      <c r="AN68" s="186"/>
      <c r="AO68" s="186" t="str">
        <f>" " &amp; TEXT(AE68,"#0.00%") &amp; " " &amp; "대시보드" &amp; "(이운주)" &amp; " " &amp; IF(P68="","",TEXT(P68,"M/D-")) &amp; IF(Q68="","",TEXT(Q68,"M/D")) &amp; " "</f>
        <v xml:space="preserve"> 0.00% 대시보드(이운주) 9/2-9/13 </v>
      </c>
      <c r="AP68" s="186"/>
      <c r="AQ68" s="186"/>
    </row>
    <row r="69" spans="1:43" ht="12" customHeight="1" outlineLevel="2">
      <c r="A69" s="146"/>
      <c r="B69" s="146"/>
      <c r="C69" s="146">
        <v>3</v>
      </c>
      <c r="D69" s="153" t="s">
        <v>1634</v>
      </c>
      <c r="E69" s="147"/>
      <c r="F69" s="147"/>
      <c r="G69" s="147" t="s">
        <v>1552</v>
      </c>
      <c r="H69" s="147"/>
      <c r="I69" s="147"/>
      <c r="J69" s="147"/>
      <c r="K69" s="147"/>
      <c r="L69" s="147"/>
      <c r="M69" s="147"/>
      <c r="N69" s="147"/>
      <c r="O69" s="147"/>
      <c r="P69" s="148">
        <v>45537</v>
      </c>
      <c r="Q69" s="148">
        <v>45548</v>
      </c>
      <c r="R69" s="147"/>
      <c r="S69" s="149">
        <v>10</v>
      </c>
      <c r="T69" s="149">
        <v>0</v>
      </c>
      <c r="U69" s="149">
        <v>10</v>
      </c>
      <c r="V69" s="149">
        <v>0</v>
      </c>
      <c r="W69" s="148"/>
      <c r="X69" s="148"/>
      <c r="Y69" s="150"/>
      <c r="Z69" s="151">
        <v>0</v>
      </c>
      <c r="AA69" s="149"/>
      <c r="AB69" s="147" t="s">
        <v>1610</v>
      </c>
      <c r="AC69" s="156"/>
      <c r="AD69" s="152">
        <v>0</v>
      </c>
      <c r="AE69" s="155">
        <v>0</v>
      </c>
      <c r="AF69" s="185"/>
      <c r="AG69" s="186"/>
      <c r="AH69" s="186"/>
      <c r="AI69" s="186"/>
      <c r="AJ69" s="186"/>
      <c r="AK69" s="186"/>
      <c r="AL69" s="186"/>
      <c r="AM69" s="186"/>
      <c r="AN69" s="186"/>
      <c r="AO69" s="186" t="str">
        <f>" " &amp; TEXT(AE69,"#0.00%") &amp; " " &amp; "GIS분석" &amp; "(이운주)" &amp; " " &amp; IF(P69="","",TEXT(P69,"M/D-")) &amp; IF(Q69="","",TEXT(Q69,"M/D")) &amp; " "</f>
        <v xml:space="preserve"> 0.00% GIS분석(이운주) 9/2-9/13 </v>
      </c>
      <c r="AP69" s="186"/>
      <c r="AQ69" s="186"/>
    </row>
    <row r="70" spans="1:43" ht="12" customHeight="1" outlineLevel="2">
      <c r="A70" s="146"/>
      <c r="B70" s="146"/>
      <c r="C70" s="146">
        <v>3</v>
      </c>
      <c r="D70" s="153" t="s">
        <v>1635</v>
      </c>
      <c r="E70" s="147"/>
      <c r="F70" s="147"/>
      <c r="G70" s="147" t="s">
        <v>1576</v>
      </c>
      <c r="H70" s="147"/>
      <c r="I70" s="147"/>
      <c r="J70" s="147"/>
      <c r="K70" s="147"/>
      <c r="L70" s="147"/>
      <c r="M70" s="147"/>
      <c r="N70" s="147"/>
      <c r="O70" s="147"/>
      <c r="P70" s="148">
        <v>45537</v>
      </c>
      <c r="Q70" s="148">
        <v>45548</v>
      </c>
      <c r="R70" s="147"/>
      <c r="S70" s="149">
        <v>10</v>
      </c>
      <c r="T70" s="149">
        <v>0</v>
      </c>
      <c r="U70" s="149">
        <v>10</v>
      </c>
      <c r="V70" s="149">
        <v>0</v>
      </c>
      <c r="W70" s="148"/>
      <c r="X70" s="148"/>
      <c r="Y70" s="150"/>
      <c r="Z70" s="151">
        <v>0</v>
      </c>
      <c r="AA70" s="149"/>
      <c r="AB70" s="147" t="s">
        <v>1610</v>
      </c>
      <c r="AC70" s="156"/>
      <c r="AD70" s="152">
        <v>0</v>
      </c>
      <c r="AE70" s="155">
        <v>0</v>
      </c>
      <c r="AF70" s="185"/>
      <c r="AG70" s="186"/>
      <c r="AH70" s="186"/>
      <c r="AI70" s="186"/>
      <c r="AJ70" s="186"/>
      <c r="AK70" s="186"/>
      <c r="AL70" s="186"/>
      <c r="AM70" s="186"/>
      <c r="AN70" s="186"/>
      <c r="AO70" s="186" t="str">
        <f>" " &amp; TEXT(AE70,"#0.00%") &amp; " " &amp; "지표분석" &amp; "(이운주)" &amp; " " &amp; IF(P70="","",TEXT(P70,"M/D-")) &amp; IF(Q70="","",TEXT(Q70,"M/D")) &amp; " "</f>
        <v xml:space="preserve"> 0.00% 지표분석(이운주) 9/2-9/13 </v>
      </c>
      <c r="AP70" s="186"/>
      <c r="AQ70" s="186"/>
    </row>
    <row r="71" spans="1:43" ht="12" customHeight="1">
      <c r="A71" s="194"/>
      <c r="B71" s="194"/>
      <c r="C71" s="194"/>
      <c r="D71" s="195"/>
      <c r="E71" s="196"/>
      <c r="F71" s="196"/>
      <c r="G71" s="196"/>
      <c r="H71" s="196"/>
      <c r="I71" s="196"/>
      <c r="J71" s="196"/>
      <c r="K71" s="196"/>
      <c r="L71" s="196"/>
      <c r="M71" s="196"/>
      <c r="N71" s="196"/>
      <c r="O71" s="196"/>
      <c r="P71" s="197"/>
      <c r="Q71" s="197"/>
      <c r="R71" s="196"/>
      <c r="S71" s="198"/>
      <c r="T71" s="198"/>
      <c r="U71" s="198"/>
      <c r="V71" s="198"/>
      <c r="W71" s="197"/>
      <c r="X71" s="197"/>
      <c r="Y71" s="199"/>
      <c r="Z71" s="200"/>
      <c r="AA71" s="198"/>
      <c r="AB71" s="196"/>
      <c r="AC71" s="201"/>
      <c r="AD71" s="202"/>
      <c r="AE71" s="203"/>
      <c r="AF71" s="182"/>
      <c r="AG71" s="182"/>
      <c r="AH71" s="182"/>
      <c r="AI71" s="182"/>
      <c r="AJ71" s="182"/>
      <c r="AK71" s="182"/>
      <c r="AL71" s="182"/>
      <c r="AM71" s="182"/>
      <c r="AN71" s="182"/>
      <c r="AO71" s="182"/>
      <c r="AP71" s="182"/>
      <c r="AQ71" s="182"/>
    </row>
  </sheetData>
  <sheetProtection formatCells="0" formatColumns="0" formatRows="0" insertColumns="0" insertRows="0" insertHyperlinks="0" deleteColumns="0" deleteRows="0" sort="0" autoFilter="0" pivotTables="0"/>
  <dataConsolidate/>
  <mergeCells count="29">
    <mergeCell ref="AE3:AE4"/>
    <mergeCell ref="AC3:AC4"/>
    <mergeCell ref="AD3:AD4"/>
    <mergeCell ref="AB3:AB4"/>
    <mergeCell ref="A3:A4"/>
    <mergeCell ref="B3:B4"/>
    <mergeCell ref="C3:C4"/>
    <mergeCell ref="D3:D4"/>
    <mergeCell ref="E3:N4"/>
    <mergeCell ref="D2:F2"/>
    <mergeCell ref="AA3:AA4"/>
    <mergeCell ref="P3:P4"/>
    <mergeCell ref="Q3:Q4"/>
    <mergeCell ref="R3:R4"/>
    <mergeCell ref="S3:S4"/>
    <mergeCell ref="Y3:Y4"/>
    <mergeCell ref="O3:O4"/>
    <mergeCell ref="Z3:Z4"/>
    <mergeCell ref="T3:T4"/>
    <mergeCell ref="U3:U4"/>
    <mergeCell ref="V3:V4"/>
    <mergeCell ref="W3:W4"/>
    <mergeCell ref="X3:X4"/>
    <mergeCell ref="AN3:AQ3"/>
    <mergeCell ref="AN2:AQ2"/>
    <mergeCell ref="AF3:AI3"/>
    <mergeCell ref="AF2:AI2"/>
    <mergeCell ref="AJ3:AM3"/>
    <mergeCell ref="AJ2:AM2"/>
  </mergeCells>
  <phoneticPr fontId="11" type="noConversion"/>
  <conditionalFormatting sqref="D5:AD70">
    <cfRule type="expression" dxfId="0" priority="1">
      <formula>($B5="G")</formula>
    </cfRule>
  </conditionalFormatting>
  <hyperlinks>
    <hyperlink ref="AF1:BJ1" r:id="rId1" display="https://xlworks.net/xlgantt-project-scheduler/" xr:uid="{278E69A5-270B-44BB-8720-E5B0EEE087FD}"/>
  </hyperlinks>
  <pageMargins left="0.19685039370078741" right="0.23622047244094491" top="0.43307086614173229" bottom="0.23622047244094491" header="0.23622047244094491" footer="0.19685039370078741"/>
  <pageSetup paperSize="9" scale="62" orientation="landscape" r:id="rId2"/>
  <headerFooter alignWithMargins="0">
    <oddFooter>&amp;L&amp;"-,보통"&amp;9XLGantt ©http://xlworks.net&amp;C&amp;"-,보통"&amp;9&amp;P/&amp;N</oddFooter>
  </headerFooter>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tabColor rgb="FFFF6600"/>
    <pageSetUpPr fitToPage="1"/>
  </sheetPr>
  <dimension ref="A1:W30"/>
  <sheetViews>
    <sheetView showGridLines="0" zoomScaleNormal="100" workbookViewId="0">
      <pane ySplit="1" topLeftCell="A2" activePane="bottomLeft" state="frozenSplit"/>
      <selection pane="bottomLeft"/>
    </sheetView>
  </sheetViews>
  <sheetFormatPr defaultColWidth="10" defaultRowHeight="15"/>
  <cols>
    <col min="1" max="1" width="35.375" style="57" customWidth="1"/>
    <col min="2" max="2" width="13.25" style="55" customWidth="1"/>
    <col min="3" max="3" width="9.875" style="59" customWidth="1"/>
    <col min="4" max="4" width="31.375" style="59" customWidth="1"/>
    <col min="5" max="6" width="14.125" style="59" customWidth="1"/>
    <col min="7" max="7" width="28.375" style="59" customWidth="1"/>
    <col min="8" max="9" width="10" style="59"/>
    <col min="10" max="10" width="8.875" style="59" bestFit="1" customWidth="1"/>
    <col min="11" max="19" width="10" style="59"/>
    <col min="20" max="22" width="10" style="59" customWidth="1"/>
    <col min="23" max="23" width="10" style="59" hidden="1" customWidth="1"/>
    <col min="24" max="26" width="10" style="59"/>
    <col min="27" max="27" width="0" style="59" hidden="1" customWidth="1"/>
    <col min="28" max="16384" width="10" style="59"/>
  </cols>
  <sheetData>
    <row r="1" spans="1:17" s="4" customFormat="1" ht="36.950000000000003" customHeight="1">
      <c r="A1" s="1" t="s">
        <v>93</v>
      </c>
      <c r="B1" s="2"/>
      <c r="C1" s="2"/>
      <c r="D1" s="2"/>
      <c r="E1" s="2"/>
      <c r="F1" s="2"/>
      <c r="G1" s="2"/>
      <c r="H1" s="2"/>
      <c r="I1" s="2"/>
      <c r="J1" s="2"/>
      <c r="K1" s="2"/>
      <c r="L1" s="260"/>
      <c r="M1" s="261"/>
      <c r="N1" s="261"/>
      <c r="O1" s="3"/>
      <c r="P1" s="3"/>
      <c r="Q1" s="3"/>
    </row>
    <row r="2" spans="1:17" s="7" customFormat="1" ht="12.75">
      <c r="A2" s="5" t="s">
        <v>94</v>
      </c>
      <c r="B2" s="6"/>
    </row>
    <row r="3" spans="1:17" s="7" customFormat="1" ht="12.75">
      <c r="A3" s="5" t="s">
        <v>95</v>
      </c>
      <c r="B3" s="6"/>
    </row>
    <row r="4" spans="1:17" s="7" customFormat="1" ht="12.75">
      <c r="A4" s="262"/>
      <c r="B4" s="262"/>
      <c r="C4" s="8"/>
      <c r="D4" s="9"/>
      <c r="E4" s="9"/>
      <c r="F4" s="9"/>
    </row>
    <row r="5" spans="1:17" s="15" customFormat="1" ht="12.75">
      <c r="A5" s="10"/>
      <c r="B5" s="11"/>
      <c r="C5" s="12"/>
      <c r="D5" s="13"/>
      <c r="E5" s="14"/>
      <c r="F5" s="14"/>
      <c r="G5" s="14"/>
    </row>
    <row r="6" spans="1:17" s="15" customFormat="1" ht="12.75">
      <c r="A6" s="16" t="s">
        <v>96</v>
      </c>
      <c r="B6" s="17">
        <v>566</v>
      </c>
      <c r="C6" s="15" t="s">
        <v>97</v>
      </c>
      <c r="D6" s="259" t="s">
        <v>98</v>
      </c>
      <c r="E6" s="259"/>
      <c r="F6" s="259"/>
      <c r="G6" s="259"/>
    </row>
    <row r="7" spans="1:17" s="15" customFormat="1" ht="12.75">
      <c r="A7" s="18"/>
      <c r="B7" s="19"/>
      <c r="C7" s="20"/>
      <c r="D7" s="21"/>
      <c r="E7" s="21"/>
      <c r="F7" s="21"/>
      <c r="G7" s="21"/>
    </row>
    <row r="8" spans="1:17" s="15" customFormat="1" ht="12.75" customHeight="1">
      <c r="A8" s="22"/>
      <c r="B8" s="23"/>
      <c r="D8" s="24"/>
      <c r="E8" s="24"/>
      <c r="F8" s="24"/>
      <c r="G8" s="24"/>
      <c r="J8" s="25"/>
    </row>
    <row r="9" spans="1:17" s="15" customFormat="1" ht="12.75">
      <c r="A9" s="16" t="s">
        <v>99</v>
      </c>
      <c r="B9" s="17">
        <v>174</v>
      </c>
      <c r="C9" s="15" t="s">
        <v>97</v>
      </c>
      <c r="D9" s="258" t="s">
        <v>100</v>
      </c>
      <c r="E9" s="258"/>
      <c r="F9" s="258"/>
      <c r="G9" s="258"/>
    </row>
    <row r="10" spans="1:17" s="15" customFormat="1" ht="12.75">
      <c r="A10" s="26"/>
      <c r="B10" s="19"/>
      <c r="C10" s="20"/>
      <c r="D10" s="27"/>
      <c r="E10" s="27"/>
      <c r="F10" s="27"/>
      <c r="G10" s="27"/>
    </row>
    <row r="11" spans="1:17" s="15" customFormat="1" ht="13.5" customHeight="1">
      <c r="A11" s="28"/>
      <c r="B11" s="23"/>
      <c r="D11" s="24"/>
      <c r="E11" s="24"/>
      <c r="F11" s="24"/>
      <c r="G11" s="24"/>
    </row>
    <row r="12" spans="1:17" s="15" customFormat="1" ht="12.75" customHeight="1">
      <c r="A12" s="29" t="s">
        <v>101</v>
      </c>
      <c r="B12" s="17">
        <v>116</v>
      </c>
      <c r="C12" s="15" t="s">
        <v>97</v>
      </c>
      <c r="D12" s="263" t="s">
        <v>102</v>
      </c>
      <c r="E12" s="258"/>
      <c r="F12" s="258"/>
      <c r="G12" s="258"/>
    </row>
    <row r="13" spans="1:17" s="32" customFormat="1" ht="12.75">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103</v>
      </c>
      <c r="B15" s="17"/>
      <c r="C15" s="15" t="s">
        <v>97</v>
      </c>
      <c r="D15" s="258" t="s">
        <v>104</v>
      </c>
      <c r="E15" s="258"/>
      <c r="F15" s="258"/>
      <c r="G15" s="258"/>
    </row>
    <row r="16" spans="1:17" s="15" customFormat="1" ht="12.75">
      <c r="A16" s="30"/>
      <c r="B16" s="36"/>
      <c r="C16" s="37"/>
      <c r="D16" s="27"/>
      <c r="E16" s="27"/>
      <c r="F16" s="27"/>
      <c r="G16" s="27"/>
    </row>
    <row r="17" spans="1:7" s="32" customFormat="1" ht="12.75" customHeight="1">
      <c r="A17" s="38"/>
      <c r="B17" s="34"/>
      <c r="C17" s="35"/>
      <c r="D17" s="24"/>
      <c r="E17" s="24"/>
      <c r="F17" s="24"/>
      <c r="G17" s="24"/>
    </row>
    <row r="18" spans="1:7" s="15" customFormat="1" ht="12.75">
      <c r="A18" s="16" t="s">
        <v>105</v>
      </c>
      <c r="B18" s="39">
        <v>0.30742049469964666</v>
      </c>
      <c r="D18" s="258" t="s">
        <v>106</v>
      </c>
      <c r="E18" s="258"/>
      <c r="F18" s="258"/>
      <c r="G18" s="258"/>
    </row>
    <row r="19" spans="1:7" s="15" customFormat="1" ht="12.75">
      <c r="A19" s="40"/>
      <c r="B19" s="36"/>
      <c r="C19" s="37"/>
      <c r="D19" s="27"/>
      <c r="E19" s="27"/>
      <c r="F19" s="27"/>
      <c r="G19" s="27"/>
    </row>
    <row r="20" spans="1:7" s="15" customFormat="1" ht="12.75" customHeight="1">
      <c r="A20" s="41"/>
      <c r="B20" s="11"/>
      <c r="C20" s="12"/>
      <c r="D20" s="24"/>
      <c r="E20" s="24"/>
      <c r="F20" s="24"/>
      <c r="G20" s="24"/>
    </row>
    <row r="21" spans="1:7" s="15" customFormat="1" ht="12.75">
      <c r="A21" s="16" t="s">
        <v>107</v>
      </c>
      <c r="B21" s="39">
        <v>0.20494699646643111</v>
      </c>
      <c r="D21" s="258" t="s">
        <v>108</v>
      </c>
      <c r="E21" s="258"/>
      <c r="F21" s="258"/>
      <c r="G21" s="258"/>
    </row>
    <row r="22" spans="1:7" s="15" customFormat="1" ht="12.75">
      <c r="A22" s="42"/>
      <c r="B22" s="43"/>
      <c r="C22" s="44"/>
      <c r="D22" s="27"/>
      <c r="E22" s="27"/>
      <c r="F22" s="27"/>
      <c r="G22" s="27"/>
    </row>
    <row r="23" spans="1:7" s="15" customFormat="1" ht="13.5" customHeight="1">
      <c r="A23" s="45"/>
      <c r="B23" s="46"/>
      <c r="C23" s="47"/>
      <c r="D23" s="48"/>
      <c r="E23" s="48"/>
      <c r="F23" s="48"/>
      <c r="G23" s="48"/>
    </row>
    <row r="24" spans="1:7" s="15" customFormat="1" ht="12.75">
      <c r="A24" s="16" t="s">
        <v>109</v>
      </c>
      <c r="B24" s="49">
        <f>ACTUAL_RATE-PLANNED_RATE</f>
        <v>-0.10247349823321555</v>
      </c>
      <c r="D24" s="259" t="s">
        <v>110</v>
      </c>
      <c r="E24" s="259"/>
      <c r="F24" s="259"/>
      <c r="G24" s="259"/>
    </row>
    <row r="25" spans="1:7" s="15" customFormat="1" ht="12.75">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11" type="noConversion"/>
  <conditionalFormatting sqref="J1">
    <cfRule type="expression" dxfId="1"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198CFF"/>
  </sheetPr>
  <dimension ref="B1:O16"/>
  <sheetViews>
    <sheetView showGridLines="0" zoomScale="80" zoomScaleNormal="80" workbookViewId="0">
      <pane ySplit="1" topLeftCell="A2" activePane="bottomLeft" state="frozen"/>
      <selection pane="bottomLeft"/>
    </sheetView>
  </sheetViews>
  <sheetFormatPr defaultColWidth="9.125" defaultRowHeight="15"/>
  <cols>
    <col min="1" max="1" width="1.625" style="267" customWidth="1"/>
    <col min="2" max="3" width="10.625" style="267" bestFit="1" customWidth="1"/>
    <col min="4" max="5" width="9.125" style="267"/>
    <col min="6" max="6" width="9.125" style="268"/>
    <col min="7" max="16384" width="9.125" style="267"/>
  </cols>
  <sheetData>
    <row r="1" spans="2:15" ht="36.950000000000003" customHeight="1">
      <c r="B1" s="269" t="s">
        <v>1616</v>
      </c>
    </row>
    <row r="2" spans="2:15">
      <c r="B2" s="267" t="s">
        <v>1617</v>
      </c>
    </row>
    <row r="3" spans="2:15">
      <c r="B3" s="267" t="s">
        <v>1618</v>
      </c>
    </row>
    <row r="4" spans="2:15">
      <c r="B4" s="272">
        <v>20</v>
      </c>
      <c r="C4" s="267" t="s">
        <v>1615</v>
      </c>
    </row>
    <row r="6" spans="2:15" ht="30">
      <c r="B6" s="139" t="s">
        <v>111</v>
      </c>
      <c r="C6" s="140" t="s">
        <v>112</v>
      </c>
      <c r="D6" s="140" t="s">
        <v>694</v>
      </c>
      <c r="E6" s="140" t="s">
        <v>695</v>
      </c>
      <c r="F6" s="275" t="s">
        <v>91</v>
      </c>
      <c r="G6" s="274"/>
      <c r="H6" s="274"/>
      <c r="I6" s="274"/>
      <c r="J6" s="274"/>
      <c r="K6" s="274"/>
      <c r="L6" s="274"/>
      <c r="M6" s="274"/>
      <c r="N6" s="274"/>
      <c r="O6" s="274"/>
    </row>
    <row r="7" spans="2:15" ht="16.5">
      <c r="B7" s="204">
        <v>45474</v>
      </c>
      <c r="C7" s="204">
        <v>45479</v>
      </c>
      <c r="D7" s="205">
        <v>15</v>
      </c>
      <c r="E7" s="276">
        <f>D7/$B$4</f>
        <v>0.75</v>
      </c>
      <c r="F7" s="277" t="str">
        <f t="shared" ref="F7:F15" si="0">REPT("|",IF(D7&gt;0,IF(D7/1&lt;1,1,D7/1)))</f>
        <v>|||||||||||||||</v>
      </c>
      <c r="G7" s="205"/>
      <c r="H7" s="205"/>
      <c r="I7" s="205"/>
      <c r="J7" s="205"/>
      <c r="K7" s="205"/>
      <c r="L7" s="205"/>
      <c r="M7" s="205"/>
      <c r="N7" s="205"/>
      <c r="O7" s="205"/>
    </row>
    <row r="8" spans="2:15" ht="16.5">
      <c r="B8" s="206">
        <v>45480</v>
      </c>
      <c r="C8" s="206">
        <v>45486</v>
      </c>
      <c r="D8" s="207">
        <v>15</v>
      </c>
      <c r="E8" s="278">
        <f t="shared" ref="E8:E15" si="1">D8/$B$4</f>
        <v>0.75</v>
      </c>
      <c r="F8" s="279" t="str">
        <f t="shared" si="0"/>
        <v>|||||||||||||||</v>
      </c>
      <c r="G8" s="207"/>
      <c r="H8" s="207"/>
      <c r="I8" s="207"/>
      <c r="J8" s="207"/>
      <c r="K8" s="207"/>
      <c r="L8" s="207"/>
      <c r="M8" s="207"/>
      <c r="N8" s="207"/>
      <c r="O8" s="207"/>
    </row>
    <row r="9" spans="2:15" ht="16.5">
      <c r="B9" s="206">
        <v>45487</v>
      </c>
      <c r="C9" s="206">
        <v>45493</v>
      </c>
      <c r="D9" s="207">
        <v>19</v>
      </c>
      <c r="E9" s="278">
        <f t="shared" si="1"/>
        <v>0.95</v>
      </c>
      <c r="F9" s="279" t="str">
        <f t="shared" si="0"/>
        <v>|||||||||||||||||||</v>
      </c>
      <c r="G9" s="207"/>
      <c r="H9" s="207"/>
      <c r="I9" s="207"/>
      <c r="J9" s="207"/>
      <c r="K9" s="207"/>
      <c r="L9" s="207"/>
      <c r="M9" s="207"/>
      <c r="N9" s="207"/>
      <c r="O9" s="207"/>
    </row>
    <row r="10" spans="2:15" ht="16.5">
      <c r="B10" s="206">
        <v>45494</v>
      </c>
      <c r="C10" s="206">
        <v>45500</v>
      </c>
      <c r="D10" s="207">
        <v>71</v>
      </c>
      <c r="E10" s="278">
        <f t="shared" si="1"/>
        <v>3.55</v>
      </c>
      <c r="F10" s="279" t="str">
        <f t="shared" si="0"/>
        <v>|||||||||||||||||||||||||||||||||||||||||||||||||||||||||||||||||||||||</v>
      </c>
      <c r="G10" s="207"/>
      <c r="H10" s="207"/>
      <c r="I10" s="207"/>
      <c r="J10" s="207"/>
      <c r="K10" s="207"/>
      <c r="L10" s="207"/>
      <c r="M10" s="207"/>
      <c r="N10" s="207"/>
      <c r="O10" s="207"/>
    </row>
    <row r="11" spans="2:15" ht="16.5">
      <c r="B11" s="206">
        <v>45501</v>
      </c>
      <c r="C11" s="206">
        <v>45507</v>
      </c>
      <c r="D11" s="207">
        <v>89</v>
      </c>
      <c r="E11" s="278">
        <f t="shared" si="1"/>
        <v>4.45</v>
      </c>
      <c r="F11" s="279" t="str">
        <f t="shared" si="0"/>
        <v>|||||||||||||||||||||||||||||||||||||||||||||||||||||||||||||||||||||||||||||||||||||||||</v>
      </c>
      <c r="G11" s="207"/>
      <c r="H11" s="207"/>
      <c r="I11" s="207"/>
      <c r="J11" s="207"/>
      <c r="K11" s="207"/>
      <c r="L11" s="207"/>
      <c r="M11" s="207"/>
      <c r="N11" s="207"/>
      <c r="O11" s="207"/>
    </row>
    <row r="12" spans="2:15" ht="16.5">
      <c r="B12" s="206">
        <v>45508</v>
      </c>
      <c r="C12" s="206">
        <v>45514</v>
      </c>
      <c r="D12" s="207">
        <v>96</v>
      </c>
      <c r="E12" s="278">
        <f t="shared" si="1"/>
        <v>4.8</v>
      </c>
      <c r="F12" s="279" t="str">
        <f t="shared" si="0"/>
        <v>||||||||||||||||||||||||||||||||||||||||||||||||||||||||||||||||||||||||||||||||||||||||||||||||</v>
      </c>
      <c r="G12" s="207"/>
      <c r="H12" s="207"/>
      <c r="I12" s="207"/>
      <c r="J12" s="207"/>
      <c r="K12" s="207"/>
      <c r="L12" s="207"/>
      <c r="M12" s="207"/>
      <c r="N12" s="207"/>
      <c r="O12" s="207"/>
    </row>
    <row r="13" spans="2:15" ht="16.5">
      <c r="B13" s="206">
        <v>45515</v>
      </c>
      <c r="C13" s="206">
        <v>45521</v>
      </c>
      <c r="D13" s="207">
        <v>90</v>
      </c>
      <c r="E13" s="278">
        <f t="shared" si="1"/>
        <v>4.5</v>
      </c>
      <c r="F13" s="279" t="str">
        <f t="shared" si="0"/>
        <v>||||||||||||||||||||||||||||||||||||||||||||||||||||||||||||||||||||||||||||||||||||||||||</v>
      </c>
      <c r="G13" s="207"/>
      <c r="H13" s="207"/>
      <c r="I13" s="207"/>
      <c r="J13" s="207"/>
      <c r="K13" s="207"/>
      <c r="L13" s="207"/>
      <c r="M13" s="207"/>
      <c r="N13" s="207"/>
      <c r="O13" s="207"/>
    </row>
    <row r="14" spans="2:15" ht="16.5">
      <c r="B14" s="206">
        <v>45522</v>
      </c>
      <c r="C14" s="206">
        <v>45528</v>
      </c>
      <c r="D14" s="207">
        <v>85</v>
      </c>
      <c r="E14" s="278">
        <f t="shared" si="1"/>
        <v>4.25</v>
      </c>
      <c r="F14" s="279" t="str">
        <f t="shared" si="0"/>
        <v>|||||||||||||||||||||||||||||||||||||||||||||||||||||||||||||||||||||||||||||||||||||</v>
      </c>
      <c r="G14" s="207"/>
      <c r="H14" s="207"/>
      <c r="I14" s="207"/>
      <c r="J14" s="207"/>
      <c r="K14" s="207"/>
      <c r="L14" s="207"/>
      <c r="M14" s="207"/>
      <c r="N14" s="207"/>
      <c r="O14" s="207"/>
    </row>
    <row r="15" spans="2:15" ht="16.5">
      <c r="B15" s="206">
        <v>45529</v>
      </c>
      <c r="C15" s="206">
        <v>45535</v>
      </c>
      <c r="D15" s="207">
        <v>65</v>
      </c>
      <c r="E15" s="278">
        <f t="shared" si="1"/>
        <v>3.25</v>
      </c>
      <c r="F15" s="279" t="str">
        <f t="shared" si="0"/>
        <v>|||||||||||||||||||||||||||||||||||||||||||||||||||||||||||||||||</v>
      </c>
      <c r="G15" s="207"/>
      <c r="H15" s="207"/>
      <c r="I15" s="207"/>
      <c r="J15" s="207"/>
      <c r="K15" s="207"/>
      <c r="L15" s="207"/>
      <c r="M15" s="207"/>
      <c r="N15" s="207"/>
      <c r="O15" s="207"/>
    </row>
    <row r="16" spans="2:15">
      <c r="C16" s="267" t="s">
        <v>1547</v>
      </c>
      <c r="D16" s="267">
        <f>SUM(D7:D15)</f>
        <v>545</v>
      </c>
      <c r="E16" s="273">
        <f>D16/$B$4</f>
        <v>27.25</v>
      </c>
    </row>
  </sheetData>
  <dataConsolidate/>
  <mergeCells count="1">
    <mergeCell ref="F6:O6"/>
  </mergeCells>
  <phoneticPr fontId="11" type="noConversion"/>
  <pageMargins left="0.7" right="0.7" top="0.75" bottom="0.75" header="0.3" footer="0.3"/>
  <pageSetup paperSize="9" orientation="portrait"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FFC000"/>
  </sheetPr>
  <dimension ref="A1:J305"/>
  <sheetViews>
    <sheetView showGridLines="0" zoomScale="85" zoomScaleNormal="85" workbookViewId="0">
      <pane ySplit="1" topLeftCell="A2" activePane="bottomLeft" state="frozenSplit"/>
      <selection pane="bottomLeft"/>
    </sheetView>
  </sheetViews>
  <sheetFormatPr defaultColWidth="10" defaultRowHeight="15"/>
  <cols>
    <col min="1" max="1" width="31.625" style="62" customWidth="1"/>
    <col min="2" max="2" width="14.5" style="62" customWidth="1"/>
    <col min="3" max="3" width="7.625" style="62" customWidth="1"/>
    <col min="4" max="4" width="21.5" style="62" customWidth="1"/>
    <col min="5" max="5" width="14.125" style="62" customWidth="1"/>
    <col min="6" max="6" width="10" style="62"/>
    <col min="7" max="7" width="24.25" style="62" customWidth="1"/>
    <col min="8" max="8" width="18.375" style="62" bestFit="1" customWidth="1"/>
    <col min="9" max="9" width="11.125" style="62" bestFit="1" customWidth="1"/>
    <col min="10" max="10" width="27.375" style="62" bestFit="1" customWidth="1"/>
    <col min="11" max="19" width="10" style="62"/>
    <col min="20" max="23" width="10" style="62" customWidth="1"/>
    <col min="24" max="26" width="10" style="62"/>
    <col min="27" max="27" width="0" style="62" hidden="1" customWidth="1"/>
    <col min="28" max="16384" width="10" style="62"/>
  </cols>
  <sheetData>
    <row r="1" spans="1:9" ht="36.950000000000003" customHeight="1">
      <c r="A1" s="1" t="s">
        <v>113</v>
      </c>
      <c r="B1" s="1"/>
      <c r="C1" s="1"/>
      <c r="D1" s="1"/>
      <c r="E1" s="1"/>
      <c r="F1" s="1"/>
      <c r="G1" s="1"/>
      <c r="H1" s="1"/>
    </row>
    <row r="2" spans="1:9" s="63" customFormat="1" ht="78.75" customHeight="1">
      <c r="A2" s="264" t="s">
        <v>114</v>
      </c>
      <c r="B2" s="264"/>
      <c r="C2" s="264"/>
      <c r="D2" s="264"/>
      <c r="E2" s="264"/>
      <c r="F2" s="264"/>
      <c r="G2" s="264"/>
      <c r="H2" s="264"/>
    </row>
    <row r="3" spans="1:9" s="63" customFormat="1" ht="24.75" customHeight="1">
      <c r="A3" s="265" t="s">
        <v>115</v>
      </c>
      <c r="B3" s="265"/>
      <c r="D3" s="265" t="s">
        <v>116</v>
      </c>
      <c r="E3" s="265"/>
      <c r="G3" s="265" t="s">
        <v>117</v>
      </c>
      <c r="H3" s="265"/>
    </row>
    <row r="4" spans="1:9" s="65" customFormat="1" ht="19.5" customHeight="1">
      <c r="A4" s="64" t="s">
        <v>118</v>
      </c>
      <c r="B4" s="64" t="s">
        <v>119</v>
      </c>
      <c r="D4" s="64" t="s">
        <v>118</v>
      </c>
      <c r="E4" s="64" t="s">
        <v>119</v>
      </c>
      <c r="G4" s="64" t="s">
        <v>118</v>
      </c>
      <c r="H4" s="64" t="s">
        <v>119</v>
      </c>
    </row>
    <row r="5" spans="1:9" s="73" customFormat="1" ht="16.5">
      <c r="A5" s="71" t="s">
        <v>120</v>
      </c>
      <c r="B5" s="72">
        <v>44592</v>
      </c>
      <c r="C5" s="73" t="str">
        <f t="shared" ref="C5:C68" si="0">IF(B5&gt;0,TEXT(B5,"(aaa)"),"")</f>
        <v>(월)</v>
      </c>
      <c r="D5" s="71"/>
      <c r="E5" s="72"/>
      <c r="F5" s="73" t="str">
        <f t="shared" ref="F5:F68" si="1">IF(E5&gt;0,TEXT(E5,"(aaa)"),"")</f>
        <v/>
      </c>
      <c r="G5" s="71"/>
      <c r="H5" s="72"/>
      <c r="I5" s="73" t="str">
        <f t="shared" ref="I5:I68" si="2">IF(H5&gt;0,TEXT(H5,"(aaa)"),"")</f>
        <v/>
      </c>
    </row>
    <row r="6" spans="1:9" s="73" customFormat="1" ht="16.5">
      <c r="A6" s="71" t="s">
        <v>121</v>
      </c>
      <c r="B6" s="72">
        <v>44593</v>
      </c>
      <c r="C6" s="73" t="str">
        <f t="shared" si="0"/>
        <v>(화)</v>
      </c>
      <c r="D6" s="71"/>
      <c r="E6" s="72"/>
      <c r="F6" s="73" t="str">
        <f t="shared" si="1"/>
        <v/>
      </c>
      <c r="G6" s="71"/>
      <c r="H6" s="72"/>
      <c r="I6" s="73" t="str">
        <f t="shared" si="2"/>
        <v/>
      </c>
    </row>
    <row r="7" spans="1:9" s="73" customFormat="1" ht="16.5">
      <c r="A7" s="71" t="s">
        <v>120</v>
      </c>
      <c r="B7" s="72">
        <v>44594</v>
      </c>
      <c r="C7" s="73" t="str">
        <f t="shared" si="0"/>
        <v>(수)</v>
      </c>
      <c r="D7" s="71"/>
      <c r="E7" s="72"/>
      <c r="F7" s="73" t="str">
        <f t="shared" si="1"/>
        <v/>
      </c>
      <c r="G7" s="71"/>
      <c r="H7" s="72"/>
      <c r="I7" s="73" t="str">
        <f t="shared" si="2"/>
        <v/>
      </c>
    </row>
    <row r="8" spans="1:9" s="73" customFormat="1" ht="16.5">
      <c r="A8" s="71" t="s">
        <v>122</v>
      </c>
      <c r="B8" s="72">
        <v>44621</v>
      </c>
      <c r="C8" s="73" t="str">
        <f t="shared" si="0"/>
        <v>(화)</v>
      </c>
      <c r="D8" s="71"/>
      <c r="E8" s="72"/>
      <c r="F8" s="73" t="str">
        <f t="shared" si="1"/>
        <v/>
      </c>
      <c r="G8" s="71"/>
      <c r="H8" s="72"/>
      <c r="I8" s="73" t="str">
        <f t="shared" si="2"/>
        <v/>
      </c>
    </row>
    <row r="9" spans="1:9" s="73" customFormat="1" ht="16.5">
      <c r="A9" s="71" t="s">
        <v>123</v>
      </c>
      <c r="B9" s="72">
        <v>44629</v>
      </c>
      <c r="C9" s="73" t="str">
        <f t="shared" si="0"/>
        <v>(수)</v>
      </c>
      <c r="D9" s="71"/>
      <c r="E9" s="72"/>
      <c r="F9" s="73" t="str">
        <f t="shared" si="1"/>
        <v/>
      </c>
      <c r="G9" s="71"/>
      <c r="H9" s="72"/>
      <c r="I9" s="73" t="str">
        <f t="shared" si="2"/>
        <v/>
      </c>
    </row>
    <row r="10" spans="1:9" s="73" customFormat="1" ht="16.5">
      <c r="A10" s="71" t="s">
        <v>124</v>
      </c>
      <c r="B10" s="72">
        <v>44686</v>
      </c>
      <c r="C10" s="73" t="str">
        <f t="shared" si="0"/>
        <v>(목)</v>
      </c>
      <c r="D10" s="71"/>
      <c r="E10" s="72"/>
      <c r="F10" s="73" t="str">
        <f t="shared" si="1"/>
        <v/>
      </c>
      <c r="G10" s="71"/>
      <c r="H10" s="72"/>
      <c r="I10" s="73" t="str">
        <f t="shared" si="2"/>
        <v/>
      </c>
    </row>
    <row r="11" spans="1:9" s="73" customFormat="1" ht="16.5">
      <c r="A11" s="71" t="s">
        <v>125</v>
      </c>
      <c r="B11" s="72">
        <v>44713</v>
      </c>
      <c r="C11" s="73" t="str">
        <f t="shared" si="0"/>
        <v>(수)</v>
      </c>
      <c r="D11" s="71"/>
      <c r="E11" s="72"/>
      <c r="F11" s="73" t="str">
        <f t="shared" si="1"/>
        <v/>
      </c>
      <c r="G11" s="71"/>
      <c r="H11" s="72"/>
      <c r="I11" s="73" t="str">
        <f t="shared" si="2"/>
        <v/>
      </c>
    </row>
    <row r="12" spans="1:9" s="73" customFormat="1" ht="16.5">
      <c r="A12" s="71" t="s">
        <v>126</v>
      </c>
      <c r="B12" s="72">
        <v>44718</v>
      </c>
      <c r="C12" s="73" t="str">
        <f t="shared" si="0"/>
        <v>(월)</v>
      </c>
      <c r="D12" s="71"/>
      <c r="E12" s="72"/>
      <c r="F12" s="73" t="str">
        <f t="shared" si="1"/>
        <v/>
      </c>
      <c r="G12" s="71"/>
      <c r="H12" s="72"/>
      <c r="I12" s="73" t="str">
        <f t="shared" si="2"/>
        <v/>
      </c>
    </row>
    <row r="13" spans="1:9" s="73" customFormat="1" ht="16.5">
      <c r="A13" s="71" t="s">
        <v>127</v>
      </c>
      <c r="B13" s="72">
        <v>44788</v>
      </c>
      <c r="C13" s="73" t="str">
        <f t="shared" si="0"/>
        <v>(월)</v>
      </c>
      <c r="D13" s="71"/>
      <c r="E13" s="72"/>
      <c r="F13" s="73" t="str">
        <f t="shared" si="1"/>
        <v/>
      </c>
      <c r="G13" s="71"/>
      <c r="H13" s="72"/>
      <c r="I13" s="73" t="str">
        <f t="shared" si="2"/>
        <v/>
      </c>
    </row>
    <row r="14" spans="1:9" s="73" customFormat="1" ht="16.5">
      <c r="A14" s="71" t="s">
        <v>128</v>
      </c>
      <c r="B14" s="72">
        <v>44813</v>
      </c>
      <c r="C14" s="73" t="str">
        <f t="shared" si="0"/>
        <v>(금)</v>
      </c>
      <c r="D14" s="71"/>
      <c r="E14" s="72"/>
      <c r="F14" s="73" t="str">
        <f t="shared" si="1"/>
        <v/>
      </c>
      <c r="G14" s="71"/>
      <c r="H14" s="72"/>
      <c r="I14" s="73" t="str">
        <f t="shared" si="2"/>
        <v/>
      </c>
    </row>
    <row r="15" spans="1:9" s="73" customFormat="1" ht="16.5">
      <c r="A15" s="71" t="s">
        <v>129</v>
      </c>
      <c r="B15" s="72">
        <v>44816</v>
      </c>
      <c r="C15" s="73" t="str">
        <f t="shared" si="0"/>
        <v>(월)</v>
      </c>
      <c r="D15" s="71"/>
      <c r="E15" s="72"/>
      <c r="F15" s="73" t="str">
        <f t="shared" si="1"/>
        <v/>
      </c>
      <c r="G15" s="71"/>
      <c r="H15" s="72"/>
      <c r="I15" s="73" t="str">
        <f t="shared" si="2"/>
        <v/>
      </c>
    </row>
    <row r="16" spans="1:9" s="73" customFormat="1" ht="16.5">
      <c r="A16" s="71" t="s">
        <v>130</v>
      </c>
      <c r="B16" s="72">
        <v>44837</v>
      </c>
      <c r="C16" s="73" t="str">
        <f t="shared" si="0"/>
        <v>(월)</v>
      </c>
      <c r="D16" s="71"/>
      <c r="E16" s="72"/>
      <c r="F16" s="73" t="str">
        <f t="shared" si="1"/>
        <v/>
      </c>
      <c r="G16" s="71"/>
      <c r="H16" s="72"/>
      <c r="I16" s="73" t="str">
        <f t="shared" si="2"/>
        <v/>
      </c>
    </row>
    <row r="17" spans="1:10" s="73" customFormat="1" ht="16.5">
      <c r="A17" s="71" t="s">
        <v>131</v>
      </c>
      <c r="B17" s="72">
        <v>44844</v>
      </c>
      <c r="C17" s="73" t="str">
        <f t="shared" si="0"/>
        <v>(월)</v>
      </c>
      <c r="D17" s="71"/>
      <c r="E17" s="72"/>
      <c r="F17" s="73" t="str">
        <f t="shared" si="1"/>
        <v/>
      </c>
      <c r="G17" s="71"/>
      <c r="H17" s="72"/>
      <c r="I17" s="73" t="str">
        <f t="shared" si="2"/>
        <v/>
      </c>
    </row>
    <row r="18" spans="1:10" s="73" customFormat="1" ht="16.5">
      <c r="A18" s="71"/>
      <c r="B18" s="72"/>
      <c r="C18" s="73" t="str">
        <f t="shared" si="0"/>
        <v/>
      </c>
      <c r="D18" s="71"/>
      <c r="E18" s="72"/>
      <c r="F18" s="73" t="str">
        <f t="shared" si="1"/>
        <v/>
      </c>
      <c r="G18" s="71"/>
      <c r="H18" s="72"/>
      <c r="I18" s="73" t="str">
        <f t="shared" si="2"/>
        <v/>
      </c>
    </row>
    <row r="19" spans="1:10" s="73" customFormat="1" ht="17.25">
      <c r="A19" s="71"/>
      <c r="B19" s="72"/>
      <c r="C19" s="73" t="str">
        <f t="shared" si="0"/>
        <v/>
      </c>
      <c r="D19" s="71"/>
      <c r="E19" s="72"/>
      <c r="F19" s="73" t="str">
        <f t="shared" si="1"/>
        <v/>
      </c>
      <c r="G19" s="71"/>
      <c r="H19" s="72"/>
      <c r="I19" s="73" t="str">
        <f t="shared" si="2"/>
        <v/>
      </c>
      <c r="J19" s="74"/>
    </row>
    <row r="20" spans="1:10" s="73" customFormat="1" ht="17.25">
      <c r="A20" s="71"/>
      <c r="B20" s="72"/>
      <c r="C20" s="73" t="str">
        <f t="shared" si="0"/>
        <v/>
      </c>
      <c r="D20" s="71"/>
      <c r="E20" s="72"/>
      <c r="F20" s="73" t="str">
        <f t="shared" si="1"/>
        <v/>
      </c>
      <c r="G20" s="71"/>
      <c r="H20" s="72"/>
      <c r="I20" s="73" t="str">
        <f t="shared" si="2"/>
        <v/>
      </c>
      <c r="J20" s="74"/>
    </row>
    <row r="21" spans="1:10" s="73" customFormat="1" ht="16.5">
      <c r="A21" s="71"/>
      <c r="B21" s="72"/>
      <c r="C21" s="73" t="str">
        <f t="shared" si="0"/>
        <v/>
      </c>
      <c r="D21" s="71"/>
      <c r="E21" s="72"/>
      <c r="F21" s="73" t="str">
        <f t="shared" si="1"/>
        <v/>
      </c>
      <c r="G21" s="71"/>
      <c r="H21" s="72"/>
      <c r="I21" s="73" t="str">
        <f t="shared" si="2"/>
        <v/>
      </c>
    </row>
    <row r="22" spans="1:10" s="73" customFormat="1" ht="16.5">
      <c r="A22" s="71"/>
      <c r="B22" s="72"/>
      <c r="C22" s="73" t="str">
        <f t="shared" si="0"/>
        <v/>
      </c>
      <c r="D22" s="71"/>
      <c r="E22" s="72"/>
      <c r="F22" s="73" t="str">
        <f t="shared" si="1"/>
        <v/>
      </c>
      <c r="G22" s="71"/>
      <c r="H22" s="72"/>
      <c r="I22" s="73" t="str">
        <f t="shared" si="2"/>
        <v/>
      </c>
    </row>
    <row r="23" spans="1:10" s="73" customFormat="1" ht="16.5">
      <c r="A23" s="71"/>
      <c r="B23" s="72"/>
      <c r="C23" s="73" t="str">
        <f t="shared" si="0"/>
        <v/>
      </c>
      <c r="D23" s="71"/>
      <c r="E23" s="72"/>
      <c r="F23" s="73" t="str">
        <f t="shared" si="1"/>
        <v/>
      </c>
      <c r="G23" s="71"/>
      <c r="H23" s="72"/>
      <c r="I23" s="73" t="str">
        <f t="shared" si="2"/>
        <v/>
      </c>
    </row>
    <row r="24" spans="1:10" s="73" customFormat="1" ht="16.5">
      <c r="A24" s="71"/>
      <c r="B24" s="72"/>
      <c r="C24" s="73" t="str">
        <f t="shared" si="0"/>
        <v/>
      </c>
      <c r="D24" s="71"/>
      <c r="E24" s="72"/>
      <c r="F24" s="73" t="str">
        <f t="shared" si="1"/>
        <v/>
      </c>
      <c r="G24" s="71"/>
      <c r="H24" s="72"/>
      <c r="I24" s="73" t="str">
        <f t="shared" si="2"/>
        <v/>
      </c>
    </row>
    <row r="25" spans="1:10" s="73" customFormat="1" ht="16.5">
      <c r="A25" s="71"/>
      <c r="B25" s="72"/>
      <c r="C25" s="73" t="str">
        <f t="shared" si="0"/>
        <v/>
      </c>
      <c r="D25" s="71"/>
      <c r="E25" s="72"/>
      <c r="F25" s="73" t="str">
        <f t="shared" si="1"/>
        <v/>
      </c>
      <c r="G25" s="71"/>
      <c r="H25" s="72"/>
      <c r="I25" s="73" t="str">
        <f t="shared" si="2"/>
        <v/>
      </c>
    </row>
    <row r="26" spans="1:10" s="73" customFormat="1" ht="16.5">
      <c r="A26" s="71"/>
      <c r="B26" s="72"/>
      <c r="C26" s="73" t="str">
        <f t="shared" si="0"/>
        <v/>
      </c>
      <c r="D26" s="71"/>
      <c r="E26" s="72"/>
      <c r="F26" s="73" t="str">
        <f t="shared" si="1"/>
        <v/>
      </c>
      <c r="G26" s="71"/>
      <c r="H26" s="72"/>
      <c r="I26" s="73" t="str">
        <f t="shared" si="2"/>
        <v/>
      </c>
    </row>
    <row r="27" spans="1:10" s="73" customFormat="1" ht="16.5">
      <c r="A27" s="71"/>
      <c r="B27" s="72"/>
      <c r="C27" s="73" t="str">
        <f t="shared" si="0"/>
        <v/>
      </c>
      <c r="D27" s="71"/>
      <c r="E27" s="72"/>
      <c r="F27" s="73" t="str">
        <f t="shared" si="1"/>
        <v/>
      </c>
      <c r="G27" s="71"/>
      <c r="H27" s="72"/>
      <c r="I27" s="73" t="str">
        <f t="shared" si="2"/>
        <v/>
      </c>
    </row>
    <row r="28" spans="1:10" s="73" customFormat="1" ht="16.5">
      <c r="A28" s="71"/>
      <c r="B28" s="72"/>
      <c r="C28" s="73" t="str">
        <f t="shared" si="0"/>
        <v/>
      </c>
      <c r="D28" s="71"/>
      <c r="E28" s="72"/>
      <c r="F28" s="73" t="str">
        <f t="shared" si="1"/>
        <v/>
      </c>
      <c r="G28" s="71"/>
      <c r="H28" s="72"/>
      <c r="I28" s="73" t="str">
        <f t="shared" si="2"/>
        <v/>
      </c>
    </row>
    <row r="29" spans="1:10" s="73" customFormat="1" ht="16.5">
      <c r="A29" s="71"/>
      <c r="B29" s="72"/>
      <c r="C29" s="73" t="str">
        <f t="shared" si="0"/>
        <v/>
      </c>
      <c r="D29" s="71"/>
      <c r="E29" s="72"/>
      <c r="F29" s="73" t="str">
        <f t="shared" si="1"/>
        <v/>
      </c>
      <c r="G29" s="71"/>
      <c r="H29" s="72"/>
      <c r="I29" s="73" t="str">
        <f t="shared" si="2"/>
        <v/>
      </c>
    </row>
    <row r="30" spans="1:10" s="73" customFormat="1" ht="16.5">
      <c r="A30" s="71"/>
      <c r="B30" s="72"/>
      <c r="C30" s="73" t="str">
        <f t="shared" si="0"/>
        <v/>
      </c>
      <c r="D30" s="71"/>
      <c r="E30" s="72"/>
      <c r="F30" s="73" t="str">
        <f t="shared" si="1"/>
        <v/>
      </c>
      <c r="G30" s="71"/>
      <c r="H30" s="72"/>
      <c r="I30" s="73" t="str">
        <f t="shared" si="2"/>
        <v/>
      </c>
    </row>
    <row r="31" spans="1:10" s="73" customFormat="1" ht="16.5">
      <c r="A31" s="71"/>
      <c r="B31" s="72"/>
      <c r="C31" s="73" t="str">
        <f t="shared" si="0"/>
        <v/>
      </c>
      <c r="D31" s="71"/>
      <c r="E31" s="72"/>
      <c r="F31" s="73" t="str">
        <f t="shared" si="1"/>
        <v/>
      </c>
      <c r="G31" s="71"/>
      <c r="H31" s="72"/>
      <c r="I31" s="73" t="str">
        <f t="shared" si="2"/>
        <v/>
      </c>
    </row>
    <row r="32" spans="1:10" s="73" customFormat="1" ht="16.5">
      <c r="A32" s="71"/>
      <c r="B32" s="72"/>
      <c r="C32" s="73" t="str">
        <f t="shared" si="0"/>
        <v/>
      </c>
      <c r="D32" s="71"/>
      <c r="E32" s="72"/>
      <c r="F32" s="73" t="str">
        <f t="shared" si="1"/>
        <v/>
      </c>
      <c r="G32" s="71"/>
      <c r="H32" s="72"/>
      <c r="I32" s="73" t="str">
        <f t="shared" si="2"/>
        <v/>
      </c>
    </row>
    <row r="33" spans="1:9" s="73" customFormat="1" ht="16.5">
      <c r="A33" s="71"/>
      <c r="B33" s="72"/>
      <c r="C33" s="73" t="str">
        <f t="shared" si="0"/>
        <v/>
      </c>
      <c r="D33" s="71"/>
      <c r="E33" s="72"/>
      <c r="F33" s="73" t="str">
        <f t="shared" si="1"/>
        <v/>
      </c>
      <c r="G33" s="71"/>
      <c r="H33" s="72"/>
      <c r="I33" s="73" t="str">
        <f t="shared" si="2"/>
        <v/>
      </c>
    </row>
    <row r="34" spans="1:9" s="73" customFormat="1" ht="16.5">
      <c r="A34" s="71"/>
      <c r="B34" s="72"/>
      <c r="C34" s="73" t="str">
        <f t="shared" si="0"/>
        <v/>
      </c>
      <c r="D34" s="71"/>
      <c r="E34" s="72"/>
      <c r="F34" s="73" t="str">
        <f t="shared" si="1"/>
        <v/>
      </c>
      <c r="G34" s="71"/>
      <c r="H34" s="72"/>
      <c r="I34" s="73" t="str">
        <f t="shared" si="2"/>
        <v/>
      </c>
    </row>
    <row r="35" spans="1:9" s="73" customFormat="1" ht="16.5">
      <c r="A35" s="71"/>
      <c r="B35" s="72"/>
      <c r="C35" s="73" t="str">
        <f t="shared" si="0"/>
        <v/>
      </c>
      <c r="D35" s="71"/>
      <c r="E35" s="72"/>
      <c r="F35" s="73" t="str">
        <f t="shared" si="1"/>
        <v/>
      </c>
      <c r="G35" s="71"/>
      <c r="H35" s="72"/>
      <c r="I35" s="73" t="str">
        <f t="shared" si="2"/>
        <v/>
      </c>
    </row>
    <row r="36" spans="1:9" s="73" customFormat="1" ht="16.5">
      <c r="A36" s="71"/>
      <c r="B36" s="72"/>
      <c r="C36" s="73" t="str">
        <f t="shared" si="0"/>
        <v/>
      </c>
      <c r="D36" s="71"/>
      <c r="E36" s="72"/>
      <c r="F36" s="73" t="str">
        <f t="shared" si="1"/>
        <v/>
      </c>
      <c r="G36" s="71"/>
      <c r="H36" s="72"/>
      <c r="I36" s="73" t="str">
        <f t="shared" si="2"/>
        <v/>
      </c>
    </row>
    <row r="37" spans="1:9" s="73" customFormat="1" ht="16.5">
      <c r="A37" s="71"/>
      <c r="B37" s="72"/>
      <c r="C37" s="73" t="str">
        <f t="shared" si="0"/>
        <v/>
      </c>
      <c r="D37" s="71"/>
      <c r="E37" s="72"/>
      <c r="F37" s="73" t="str">
        <f t="shared" si="1"/>
        <v/>
      </c>
      <c r="G37" s="71"/>
      <c r="H37" s="72"/>
      <c r="I37" s="73" t="str">
        <f t="shared" si="2"/>
        <v/>
      </c>
    </row>
    <row r="38" spans="1:9" s="73" customFormat="1" ht="16.5">
      <c r="A38" s="71"/>
      <c r="B38" s="72"/>
      <c r="C38" s="73" t="str">
        <f t="shared" si="0"/>
        <v/>
      </c>
      <c r="D38" s="71"/>
      <c r="E38" s="72"/>
      <c r="F38" s="73" t="str">
        <f t="shared" si="1"/>
        <v/>
      </c>
      <c r="G38" s="71"/>
      <c r="H38" s="72"/>
      <c r="I38" s="73" t="str">
        <f t="shared" si="2"/>
        <v/>
      </c>
    </row>
    <row r="39" spans="1:9" s="73" customFormat="1" ht="16.5">
      <c r="A39" s="71"/>
      <c r="B39" s="72"/>
      <c r="C39" s="73" t="str">
        <f t="shared" si="0"/>
        <v/>
      </c>
      <c r="D39" s="71"/>
      <c r="E39" s="72"/>
      <c r="F39" s="73" t="str">
        <f t="shared" si="1"/>
        <v/>
      </c>
      <c r="G39" s="71"/>
      <c r="H39" s="72"/>
      <c r="I39" s="73" t="str">
        <f t="shared" si="2"/>
        <v/>
      </c>
    </row>
    <row r="40" spans="1:9" s="73" customFormat="1" ht="16.5">
      <c r="A40" s="71"/>
      <c r="B40" s="72"/>
      <c r="C40" s="73" t="str">
        <f t="shared" si="0"/>
        <v/>
      </c>
      <c r="D40" s="71"/>
      <c r="E40" s="72"/>
      <c r="F40" s="73" t="str">
        <f t="shared" si="1"/>
        <v/>
      </c>
      <c r="G40" s="71"/>
      <c r="H40" s="72"/>
      <c r="I40" s="73" t="str">
        <f t="shared" si="2"/>
        <v/>
      </c>
    </row>
    <row r="41" spans="1:9" s="73" customFormat="1" ht="16.5">
      <c r="A41" s="71"/>
      <c r="B41" s="72"/>
      <c r="C41" s="73" t="str">
        <f t="shared" si="0"/>
        <v/>
      </c>
      <c r="D41" s="71"/>
      <c r="E41" s="72"/>
      <c r="F41" s="73" t="str">
        <f t="shared" si="1"/>
        <v/>
      </c>
      <c r="G41" s="71"/>
      <c r="H41" s="72"/>
      <c r="I41" s="73" t="str">
        <f t="shared" si="2"/>
        <v/>
      </c>
    </row>
    <row r="42" spans="1:9" s="73" customFormat="1" ht="16.5">
      <c r="A42" s="71"/>
      <c r="B42" s="72"/>
      <c r="C42" s="73" t="str">
        <f t="shared" si="0"/>
        <v/>
      </c>
      <c r="D42" s="71"/>
      <c r="E42" s="72"/>
      <c r="F42" s="73" t="str">
        <f t="shared" si="1"/>
        <v/>
      </c>
      <c r="G42" s="71"/>
      <c r="H42" s="72"/>
      <c r="I42" s="73" t="str">
        <f t="shared" si="2"/>
        <v/>
      </c>
    </row>
    <row r="43" spans="1:9" s="73" customFormat="1" ht="16.5">
      <c r="A43" s="71"/>
      <c r="B43" s="72"/>
      <c r="C43" s="73" t="str">
        <f t="shared" si="0"/>
        <v/>
      </c>
      <c r="D43" s="71"/>
      <c r="E43" s="72"/>
      <c r="F43" s="73" t="str">
        <f t="shared" si="1"/>
        <v/>
      </c>
      <c r="G43" s="71"/>
      <c r="H43" s="72"/>
      <c r="I43" s="73" t="str">
        <f t="shared" si="2"/>
        <v/>
      </c>
    </row>
    <row r="44" spans="1:9" s="73" customFormat="1" ht="16.5">
      <c r="A44" s="71"/>
      <c r="B44" s="72"/>
      <c r="C44" s="73" t="str">
        <f t="shared" si="0"/>
        <v/>
      </c>
      <c r="D44" s="71"/>
      <c r="E44" s="72"/>
      <c r="F44" s="73" t="str">
        <f t="shared" si="1"/>
        <v/>
      </c>
      <c r="G44" s="71"/>
      <c r="H44" s="72"/>
      <c r="I44" s="73" t="str">
        <f t="shared" si="2"/>
        <v/>
      </c>
    </row>
    <row r="45" spans="1:9" s="73" customFormat="1" ht="16.5">
      <c r="A45" s="71"/>
      <c r="B45" s="72"/>
      <c r="C45" s="73" t="str">
        <f t="shared" si="0"/>
        <v/>
      </c>
      <c r="D45" s="71"/>
      <c r="E45" s="72"/>
      <c r="F45" s="73" t="str">
        <f t="shared" si="1"/>
        <v/>
      </c>
      <c r="G45" s="71"/>
      <c r="H45" s="72"/>
      <c r="I45" s="73" t="str">
        <f t="shared" si="2"/>
        <v/>
      </c>
    </row>
    <row r="46" spans="1:9" s="73" customFormat="1" ht="16.5">
      <c r="A46" s="71"/>
      <c r="B46" s="72"/>
      <c r="C46" s="73" t="str">
        <f t="shared" si="0"/>
        <v/>
      </c>
      <c r="D46" s="71"/>
      <c r="E46" s="72"/>
      <c r="F46" s="73" t="str">
        <f t="shared" si="1"/>
        <v/>
      </c>
      <c r="G46" s="71"/>
      <c r="H46" s="72"/>
      <c r="I46" s="73" t="str">
        <f t="shared" si="2"/>
        <v/>
      </c>
    </row>
    <row r="47" spans="1:9" s="73" customFormat="1" ht="16.5">
      <c r="A47" s="71"/>
      <c r="B47" s="72"/>
      <c r="C47" s="73" t="str">
        <f t="shared" si="0"/>
        <v/>
      </c>
      <c r="D47" s="71"/>
      <c r="E47" s="72"/>
      <c r="F47" s="73" t="str">
        <f t="shared" si="1"/>
        <v/>
      </c>
      <c r="G47" s="71"/>
      <c r="H47" s="72"/>
      <c r="I47" s="73" t="str">
        <f t="shared" si="2"/>
        <v/>
      </c>
    </row>
    <row r="48" spans="1:9" s="73" customFormat="1" ht="16.5">
      <c r="A48" s="71"/>
      <c r="B48" s="72"/>
      <c r="C48" s="73" t="str">
        <f t="shared" si="0"/>
        <v/>
      </c>
      <c r="D48" s="71"/>
      <c r="E48" s="72"/>
      <c r="F48" s="73" t="str">
        <f t="shared" si="1"/>
        <v/>
      </c>
      <c r="G48" s="71"/>
      <c r="H48" s="72"/>
      <c r="I48" s="73" t="str">
        <f t="shared" si="2"/>
        <v/>
      </c>
    </row>
    <row r="49" spans="1:9" s="73" customFormat="1" ht="16.5">
      <c r="A49" s="71"/>
      <c r="B49" s="72"/>
      <c r="C49" s="73" t="str">
        <f t="shared" si="0"/>
        <v/>
      </c>
      <c r="D49" s="71"/>
      <c r="E49" s="72"/>
      <c r="F49" s="73" t="str">
        <f t="shared" si="1"/>
        <v/>
      </c>
      <c r="G49" s="71"/>
      <c r="H49" s="72"/>
      <c r="I49" s="73" t="str">
        <f t="shared" si="2"/>
        <v/>
      </c>
    </row>
    <row r="50" spans="1:9" s="73" customFormat="1" ht="16.5">
      <c r="A50" s="71"/>
      <c r="B50" s="72"/>
      <c r="C50" s="73" t="str">
        <f t="shared" si="0"/>
        <v/>
      </c>
      <c r="D50" s="71"/>
      <c r="E50" s="72"/>
      <c r="F50" s="73" t="str">
        <f t="shared" si="1"/>
        <v/>
      </c>
      <c r="G50" s="71"/>
      <c r="H50" s="72"/>
      <c r="I50" s="73" t="str">
        <f t="shared" si="2"/>
        <v/>
      </c>
    </row>
    <row r="51" spans="1:9" s="73" customFormat="1" ht="16.5">
      <c r="A51" s="71"/>
      <c r="B51" s="72"/>
      <c r="C51" s="73" t="str">
        <f t="shared" si="0"/>
        <v/>
      </c>
      <c r="D51" s="71"/>
      <c r="E51" s="72"/>
      <c r="F51" s="73" t="str">
        <f t="shared" si="1"/>
        <v/>
      </c>
      <c r="G51" s="71"/>
      <c r="H51" s="72"/>
      <c r="I51" s="73" t="str">
        <f t="shared" si="2"/>
        <v/>
      </c>
    </row>
    <row r="52" spans="1:9" s="73" customFormat="1" ht="16.5">
      <c r="A52" s="71"/>
      <c r="B52" s="72"/>
      <c r="C52" s="73" t="str">
        <f t="shared" si="0"/>
        <v/>
      </c>
      <c r="D52" s="71"/>
      <c r="E52" s="72"/>
      <c r="F52" s="73" t="str">
        <f t="shared" si="1"/>
        <v/>
      </c>
      <c r="G52" s="71"/>
      <c r="H52" s="72"/>
      <c r="I52" s="73" t="str">
        <f t="shared" si="2"/>
        <v/>
      </c>
    </row>
    <row r="53" spans="1:9" s="73" customFormat="1" ht="16.5">
      <c r="A53" s="71"/>
      <c r="B53" s="72"/>
      <c r="C53" s="73" t="str">
        <f t="shared" si="0"/>
        <v/>
      </c>
      <c r="D53" s="71"/>
      <c r="E53" s="72"/>
      <c r="F53" s="73" t="str">
        <f t="shared" si="1"/>
        <v/>
      </c>
      <c r="G53" s="71"/>
      <c r="H53" s="72"/>
      <c r="I53" s="73" t="str">
        <f t="shared" si="2"/>
        <v/>
      </c>
    </row>
    <row r="54" spans="1:9" s="73" customFormat="1" ht="16.5">
      <c r="A54" s="71"/>
      <c r="B54" s="72"/>
      <c r="C54" s="73" t="str">
        <f t="shared" si="0"/>
        <v/>
      </c>
      <c r="D54" s="71"/>
      <c r="E54" s="72"/>
      <c r="F54" s="73" t="str">
        <f t="shared" si="1"/>
        <v/>
      </c>
      <c r="G54" s="71"/>
      <c r="H54" s="72"/>
      <c r="I54" s="73" t="str">
        <f t="shared" si="2"/>
        <v/>
      </c>
    </row>
    <row r="55" spans="1:9" s="73" customFormat="1" ht="16.5">
      <c r="A55" s="71"/>
      <c r="B55" s="72"/>
      <c r="C55" s="73" t="str">
        <f t="shared" si="0"/>
        <v/>
      </c>
      <c r="D55" s="71"/>
      <c r="E55" s="72"/>
      <c r="F55" s="73" t="str">
        <f t="shared" si="1"/>
        <v/>
      </c>
      <c r="G55" s="71"/>
      <c r="H55" s="72"/>
      <c r="I55" s="73" t="str">
        <f t="shared" si="2"/>
        <v/>
      </c>
    </row>
    <row r="56" spans="1:9" s="73" customFormat="1" ht="16.5">
      <c r="A56" s="71"/>
      <c r="B56" s="72"/>
      <c r="C56" s="73" t="str">
        <f t="shared" si="0"/>
        <v/>
      </c>
      <c r="D56" s="71"/>
      <c r="E56" s="72"/>
      <c r="F56" s="73" t="str">
        <f t="shared" si="1"/>
        <v/>
      </c>
      <c r="G56" s="71"/>
      <c r="H56" s="72"/>
      <c r="I56" s="73" t="str">
        <f t="shared" si="2"/>
        <v/>
      </c>
    </row>
    <row r="57" spans="1:9" s="73" customFormat="1" ht="16.5">
      <c r="A57" s="71"/>
      <c r="B57" s="72"/>
      <c r="C57" s="73" t="str">
        <f t="shared" si="0"/>
        <v/>
      </c>
      <c r="D57" s="71"/>
      <c r="E57" s="72"/>
      <c r="F57" s="73" t="str">
        <f t="shared" si="1"/>
        <v/>
      </c>
      <c r="G57" s="71"/>
      <c r="H57" s="72"/>
      <c r="I57" s="73" t="str">
        <f t="shared" si="2"/>
        <v/>
      </c>
    </row>
    <row r="58" spans="1:9" s="73" customFormat="1" ht="16.5">
      <c r="A58" s="71"/>
      <c r="B58" s="72"/>
      <c r="C58" s="73" t="str">
        <f t="shared" si="0"/>
        <v/>
      </c>
      <c r="D58" s="71"/>
      <c r="E58" s="72"/>
      <c r="F58" s="73" t="str">
        <f t="shared" si="1"/>
        <v/>
      </c>
      <c r="G58" s="71"/>
      <c r="H58" s="72"/>
      <c r="I58" s="73" t="str">
        <f t="shared" si="2"/>
        <v/>
      </c>
    </row>
    <row r="59" spans="1:9" s="73" customFormat="1" ht="16.5">
      <c r="A59" s="71"/>
      <c r="B59" s="72"/>
      <c r="C59" s="73" t="str">
        <f t="shared" si="0"/>
        <v/>
      </c>
      <c r="D59" s="71"/>
      <c r="E59" s="72"/>
      <c r="F59" s="73" t="str">
        <f t="shared" si="1"/>
        <v/>
      </c>
      <c r="G59" s="71"/>
      <c r="H59" s="72"/>
      <c r="I59" s="73" t="str">
        <f t="shared" si="2"/>
        <v/>
      </c>
    </row>
    <row r="60" spans="1:9" s="73" customFormat="1" ht="16.5">
      <c r="A60" s="71"/>
      <c r="B60" s="72"/>
      <c r="C60" s="73" t="str">
        <f t="shared" si="0"/>
        <v/>
      </c>
      <c r="D60" s="71"/>
      <c r="E60" s="72"/>
      <c r="F60" s="73" t="str">
        <f t="shared" si="1"/>
        <v/>
      </c>
      <c r="G60" s="71"/>
      <c r="H60" s="72"/>
      <c r="I60" s="73" t="str">
        <f t="shared" si="2"/>
        <v/>
      </c>
    </row>
    <row r="61" spans="1:9" s="73" customFormat="1" ht="16.5">
      <c r="A61" s="71"/>
      <c r="B61" s="72"/>
      <c r="C61" s="73" t="str">
        <f t="shared" si="0"/>
        <v/>
      </c>
      <c r="D61" s="71"/>
      <c r="E61" s="72"/>
      <c r="F61" s="73" t="str">
        <f t="shared" si="1"/>
        <v/>
      </c>
      <c r="G61" s="71"/>
      <c r="H61" s="72"/>
      <c r="I61" s="73" t="str">
        <f t="shared" si="2"/>
        <v/>
      </c>
    </row>
    <row r="62" spans="1:9" s="73" customFormat="1" ht="16.5">
      <c r="A62" s="71"/>
      <c r="B62" s="72"/>
      <c r="C62" s="73" t="str">
        <f t="shared" si="0"/>
        <v/>
      </c>
      <c r="D62" s="71"/>
      <c r="E62" s="72"/>
      <c r="F62" s="73" t="str">
        <f t="shared" si="1"/>
        <v/>
      </c>
      <c r="G62" s="71"/>
      <c r="H62" s="72"/>
      <c r="I62" s="73" t="str">
        <f t="shared" si="2"/>
        <v/>
      </c>
    </row>
    <row r="63" spans="1:9" s="73" customFormat="1" ht="16.5">
      <c r="A63" s="71"/>
      <c r="B63" s="72"/>
      <c r="C63" s="73" t="str">
        <f t="shared" si="0"/>
        <v/>
      </c>
      <c r="D63" s="71"/>
      <c r="E63" s="72"/>
      <c r="F63" s="73" t="str">
        <f t="shared" si="1"/>
        <v/>
      </c>
      <c r="G63" s="71"/>
      <c r="H63" s="72"/>
      <c r="I63" s="73" t="str">
        <f t="shared" si="2"/>
        <v/>
      </c>
    </row>
    <row r="64" spans="1:9" s="73" customFormat="1" ht="16.5">
      <c r="A64" s="71"/>
      <c r="B64" s="72"/>
      <c r="C64" s="73" t="str">
        <f t="shared" si="0"/>
        <v/>
      </c>
      <c r="D64" s="71"/>
      <c r="E64" s="72"/>
      <c r="F64" s="73" t="str">
        <f t="shared" si="1"/>
        <v/>
      </c>
      <c r="G64" s="71"/>
      <c r="H64" s="72"/>
      <c r="I64" s="73" t="str">
        <f t="shared" si="2"/>
        <v/>
      </c>
    </row>
    <row r="65" spans="1:9" s="73" customFormat="1" ht="16.5">
      <c r="A65" s="71"/>
      <c r="B65" s="72"/>
      <c r="C65" s="73" t="str">
        <f t="shared" si="0"/>
        <v/>
      </c>
      <c r="D65" s="71"/>
      <c r="E65" s="72"/>
      <c r="F65" s="73" t="str">
        <f t="shared" si="1"/>
        <v/>
      </c>
      <c r="G65" s="71"/>
      <c r="H65" s="72"/>
      <c r="I65" s="73" t="str">
        <f t="shared" si="2"/>
        <v/>
      </c>
    </row>
    <row r="66" spans="1:9" s="73" customFormat="1" ht="16.5">
      <c r="A66" s="71"/>
      <c r="B66" s="72"/>
      <c r="C66" s="73" t="str">
        <f t="shared" si="0"/>
        <v/>
      </c>
      <c r="D66" s="71"/>
      <c r="E66" s="72"/>
      <c r="F66" s="73" t="str">
        <f t="shared" si="1"/>
        <v/>
      </c>
      <c r="G66" s="71"/>
      <c r="H66" s="72"/>
      <c r="I66" s="73" t="str">
        <f t="shared" si="2"/>
        <v/>
      </c>
    </row>
    <row r="67" spans="1:9" s="73" customFormat="1" ht="16.5">
      <c r="A67" s="71"/>
      <c r="B67" s="72"/>
      <c r="C67" s="73" t="str">
        <f t="shared" si="0"/>
        <v/>
      </c>
      <c r="D67" s="71"/>
      <c r="E67" s="72"/>
      <c r="F67" s="73" t="str">
        <f t="shared" si="1"/>
        <v/>
      </c>
      <c r="G67" s="71"/>
      <c r="H67" s="72"/>
      <c r="I67" s="73" t="str">
        <f t="shared" si="2"/>
        <v/>
      </c>
    </row>
    <row r="68" spans="1:9" s="73" customFormat="1" ht="16.5">
      <c r="A68" s="71"/>
      <c r="B68" s="72"/>
      <c r="C68" s="73" t="str">
        <f t="shared" si="0"/>
        <v/>
      </c>
      <c r="D68" s="71"/>
      <c r="E68" s="72"/>
      <c r="F68" s="73" t="str">
        <f t="shared" si="1"/>
        <v/>
      </c>
      <c r="G68" s="71"/>
      <c r="H68" s="72"/>
      <c r="I68" s="73" t="str">
        <f t="shared" si="2"/>
        <v/>
      </c>
    </row>
    <row r="69" spans="1:9" s="73" customFormat="1" ht="16.5">
      <c r="A69" s="71"/>
      <c r="B69" s="72"/>
      <c r="C69" s="73" t="str">
        <f t="shared" ref="C69:C132" si="3">IF(B69&gt;0,TEXT(B69,"(aaa)"),"")</f>
        <v/>
      </c>
      <c r="D69" s="71"/>
      <c r="E69" s="72"/>
      <c r="F69" s="73" t="str">
        <f t="shared" ref="F69:F132" si="4">IF(E69&gt;0,TEXT(E69,"(aaa)"),"")</f>
        <v/>
      </c>
      <c r="G69" s="71"/>
      <c r="H69" s="72"/>
      <c r="I69" s="73" t="str">
        <f t="shared" ref="I69:I132" si="5">IF(H69&gt;0,TEXT(H69,"(aaa)"),"")</f>
        <v/>
      </c>
    </row>
    <row r="70" spans="1:9" s="73" customFormat="1" ht="16.5">
      <c r="A70" s="71"/>
      <c r="B70" s="72"/>
      <c r="C70" s="73" t="str">
        <f t="shared" si="3"/>
        <v/>
      </c>
      <c r="D70" s="71"/>
      <c r="E70" s="72"/>
      <c r="F70" s="73" t="str">
        <f t="shared" si="4"/>
        <v/>
      </c>
      <c r="G70" s="71"/>
      <c r="H70" s="72"/>
      <c r="I70" s="73" t="str">
        <f t="shared" si="5"/>
        <v/>
      </c>
    </row>
    <row r="71" spans="1:9" s="73" customFormat="1" ht="16.5">
      <c r="A71" s="71"/>
      <c r="B71" s="72"/>
      <c r="C71" s="73" t="str">
        <f t="shared" si="3"/>
        <v/>
      </c>
      <c r="D71" s="71"/>
      <c r="E71" s="72"/>
      <c r="F71" s="73" t="str">
        <f t="shared" si="4"/>
        <v/>
      </c>
      <c r="G71" s="71"/>
      <c r="H71" s="72"/>
      <c r="I71" s="73" t="str">
        <f t="shared" si="5"/>
        <v/>
      </c>
    </row>
    <row r="72" spans="1:9" s="73" customFormat="1" ht="16.5">
      <c r="A72" s="71"/>
      <c r="B72" s="72"/>
      <c r="C72" s="73" t="str">
        <f t="shared" si="3"/>
        <v/>
      </c>
      <c r="D72" s="71"/>
      <c r="E72" s="72"/>
      <c r="F72" s="73" t="str">
        <f t="shared" si="4"/>
        <v/>
      </c>
      <c r="G72" s="71"/>
      <c r="H72" s="72"/>
      <c r="I72" s="73" t="str">
        <f t="shared" si="5"/>
        <v/>
      </c>
    </row>
    <row r="73" spans="1:9" s="73" customFormat="1" ht="16.5">
      <c r="A73" s="71"/>
      <c r="B73" s="72"/>
      <c r="C73" s="73" t="str">
        <f t="shared" si="3"/>
        <v/>
      </c>
      <c r="D73" s="71"/>
      <c r="E73" s="72"/>
      <c r="F73" s="73" t="str">
        <f t="shared" si="4"/>
        <v/>
      </c>
      <c r="G73" s="71"/>
      <c r="H73" s="72"/>
      <c r="I73" s="73" t="str">
        <f t="shared" si="5"/>
        <v/>
      </c>
    </row>
    <row r="74" spans="1:9" s="73" customFormat="1" ht="16.5">
      <c r="A74" s="71"/>
      <c r="B74" s="72"/>
      <c r="C74" s="73" t="str">
        <f t="shared" si="3"/>
        <v/>
      </c>
      <c r="D74" s="71"/>
      <c r="E74" s="72"/>
      <c r="F74" s="73" t="str">
        <f t="shared" si="4"/>
        <v/>
      </c>
      <c r="G74" s="71"/>
      <c r="H74" s="72"/>
      <c r="I74" s="73" t="str">
        <f t="shared" si="5"/>
        <v/>
      </c>
    </row>
    <row r="75" spans="1:9" s="73" customFormat="1" ht="16.5">
      <c r="A75" s="71"/>
      <c r="B75" s="72"/>
      <c r="C75" s="73" t="str">
        <f t="shared" si="3"/>
        <v/>
      </c>
      <c r="D75" s="71"/>
      <c r="E75" s="72"/>
      <c r="F75" s="73" t="str">
        <f t="shared" si="4"/>
        <v/>
      </c>
      <c r="G75" s="71"/>
      <c r="H75" s="72"/>
      <c r="I75" s="73" t="str">
        <f t="shared" si="5"/>
        <v/>
      </c>
    </row>
    <row r="76" spans="1:9" s="73" customFormat="1" ht="16.5">
      <c r="A76" s="71"/>
      <c r="B76" s="72"/>
      <c r="C76" s="73" t="str">
        <f t="shared" si="3"/>
        <v/>
      </c>
      <c r="D76" s="71"/>
      <c r="E76" s="72"/>
      <c r="F76" s="73" t="str">
        <f t="shared" si="4"/>
        <v/>
      </c>
      <c r="G76" s="71"/>
      <c r="H76" s="72"/>
      <c r="I76" s="73" t="str">
        <f t="shared" si="5"/>
        <v/>
      </c>
    </row>
    <row r="77" spans="1:9" s="73" customFormat="1" ht="16.5">
      <c r="A77" s="71"/>
      <c r="B77" s="72"/>
      <c r="C77" s="73" t="str">
        <f t="shared" si="3"/>
        <v/>
      </c>
      <c r="D77" s="71"/>
      <c r="E77" s="72"/>
      <c r="F77" s="73" t="str">
        <f t="shared" si="4"/>
        <v/>
      </c>
      <c r="G77" s="71"/>
      <c r="H77" s="72"/>
      <c r="I77" s="73" t="str">
        <f t="shared" si="5"/>
        <v/>
      </c>
    </row>
    <row r="78" spans="1:9" s="73" customFormat="1" ht="16.5">
      <c r="A78" s="71"/>
      <c r="B78" s="72"/>
      <c r="C78" s="73" t="str">
        <f t="shared" si="3"/>
        <v/>
      </c>
      <c r="D78" s="71"/>
      <c r="E78" s="72"/>
      <c r="F78" s="73" t="str">
        <f t="shared" si="4"/>
        <v/>
      </c>
      <c r="G78" s="71"/>
      <c r="H78" s="72"/>
      <c r="I78" s="73" t="str">
        <f t="shared" si="5"/>
        <v/>
      </c>
    </row>
    <row r="79" spans="1:9" s="73" customFormat="1" ht="16.5">
      <c r="A79" s="71"/>
      <c r="B79" s="72"/>
      <c r="C79" s="73" t="str">
        <f t="shared" si="3"/>
        <v/>
      </c>
      <c r="D79" s="71"/>
      <c r="E79" s="72"/>
      <c r="F79" s="73" t="str">
        <f t="shared" si="4"/>
        <v/>
      </c>
      <c r="G79" s="71"/>
      <c r="H79" s="72"/>
      <c r="I79" s="73" t="str">
        <f t="shared" si="5"/>
        <v/>
      </c>
    </row>
    <row r="80" spans="1:9" s="73" customFormat="1" ht="16.5">
      <c r="A80" s="71"/>
      <c r="B80" s="72"/>
      <c r="C80" s="73" t="str">
        <f t="shared" si="3"/>
        <v/>
      </c>
      <c r="D80" s="71"/>
      <c r="E80" s="72"/>
      <c r="F80" s="73" t="str">
        <f t="shared" si="4"/>
        <v/>
      </c>
      <c r="G80" s="71"/>
      <c r="H80" s="72"/>
      <c r="I80" s="73" t="str">
        <f t="shared" si="5"/>
        <v/>
      </c>
    </row>
    <row r="81" spans="1:9" s="73" customFormat="1" ht="16.5">
      <c r="A81" s="71"/>
      <c r="B81" s="72"/>
      <c r="C81" s="73" t="str">
        <f t="shared" si="3"/>
        <v/>
      </c>
      <c r="D81" s="71"/>
      <c r="E81" s="72"/>
      <c r="F81" s="73" t="str">
        <f t="shared" si="4"/>
        <v/>
      </c>
      <c r="G81" s="71"/>
      <c r="H81" s="72"/>
      <c r="I81" s="73" t="str">
        <f t="shared" si="5"/>
        <v/>
      </c>
    </row>
    <row r="82" spans="1:9" s="73" customFormat="1" ht="16.5">
      <c r="A82" s="71"/>
      <c r="B82" s="72"/>
      <c r="C82" s="73" t="str">
        <f t="shared" si="3"/>
        <v/>
      </c>
      <c r="D82" s="71"/>
      <c r="E82" s="72"/>
      <c r="F82" s="73" t="str">
        <f t="shared" si="4"/>
        <v/>
      </c>
      <c r="G82" s="71"/>
      <c r="H82" s="72"/>
      <c r="I82" s="73" t="str">
        <f t="shared" si="5"/>
        <v/>
      </c>
    </row>
    <row r="83" spans="1:9" s="73" customFormat="1" ht="16.5">
      <c r="A83" s="71"/>
      <c r="B83" s="72"/>
      <c r="C83" s="73" t="str">
        <f t="shared" si="3"/>
        <v/>
      </c>
      <c r="D83" s="71"/>
      <c r="E83" s="72"/>
      <c r="F83" s="73" t="str">
        <f t="shared" si="4"/>
        <v/>
      </c>
      <c r="G83" s="71"/>
      <c r="H83" s="72"/>
      <c r="I83" s="73" t="str">
        <f t="shared" si="5"/>
        <v/>
      </c>
    </row>
    <row r="84" spans="1:9" s="73" customFormat="1" ht="16.5">
      <c r="A84" s="71"/>
      <c r="B84" s="72"/>
      <c r="C84" s="73" t="str">
        <f t="shared" si="3"/>
        <v/>
      </c>
      <c r="D84" s="71"/>
      <c r="E84" s="72"/>
      <c r="F84" s="73" t="str">
        <f t="shared" si="4"/>
        <v/>
      </c>
      <c r="G84" s="71"/>
      <c r="H84" s="72"/>
      <c r="I84" s="73" t="str">
        <f t="shared" si="5"/>
        <v/>
      </c>
    </row>
    <row r="85" spans="1:9" s="73" customFormat="1" ht="16.5">
      <c r="A85" s="71"/>
      <c r="B85" s="72"/>
      <c r="C85" s="73" t="str">
        <f t="shared" si="3"/>
        <v/>
      </c>
      <c r="D85" s="71"/>
      <c r="E85" s="72"/>
      <c r="F85" s="73" t="str">
        <f t="shared" si="4"/>
        <v/>
      </c>
      <c r="G85" s="71"/>
      <c r="H85" s="72"/>
      <c r="I85" s="73" t="str">
        <f t="shared" si="5"/>
        <v/>
      </c>
    </row>
    <row r="86" spans="1:9" s="73" customFormat="1" ht="16.5">
      <c r="A86" s="71"/>
      <c r="B86" s="72"/>
      <c r="C86" s="73" t="str">
        <f t="shared" si="3"/>
        <v/>
      </c>
      <c r="D86" s="71"/>
      <c r="E86" s="72"/>
      <c r="F86" s="73" t="str">
        <f t="shared" si="4"/>
        <v/>
      </c>
      <c r="G86" s="71"/>
      <c r="H86" s="72"/>
      <c r="I86" s="73" t="str">
        <f t="shared" si="5"/>
        <v/>
      </c>
    </row>
    <row r="87" spans="1:9" s="73" customFormat="1" ht="16.5">
      <c r="A87" s="71"/>
      <c r="B87" s="72"/>
      <c r="C87" s="73" t="str">
        <f t="shared" si="3"/>
        <v/>
      </c>
      <c r="D87" s="71"/>
      <c r="E87" s="72"/>
      <c r="F87" s="73" t="str">
        <f t="shared" si="4"/>
        <v/>
      </c>
      <c r="G87" s="71"/>
      <c r="H87" s="72"/>
      <c r="I87" s="73" t="str">
        <f t="shared" si="5"/>
        <v/>
      </c>
    </row>
    <row r="88" spans="1:9" s="73" customFormat="1" ht="16.5">
      <c r="A88" s="71"/>
      <c r="B88" s="72"/>
      <c r="C88" s="73" t="str">
        <f t="shared" si="3"/>
        <v/>
      </c>
      <c r="D88" s="71"/>
      <c r="E88" s="72"/>
      <c r="F88" s="73" t="str">
        <f t="shared" si="4"/>
        <v/>
      </c>
      <c r="G88" s="71"/>
      <c r="H88" s="72"/>
      <c r="I88" s="73" t="str">
        <f t="shared" si="5"/>
        <v/>
      </c>
    </row>
    <row r="89" spans="1:9" s="73" customFormat="1" ht="16.5">
      <c r="A89" s="71"/>
      <c r="B89" s="72"/>
      <c r="C89" s="73" t="str">
        <f t="shared" si="3"/>
        <v/>
      </c>
      <c r="D89" s="71"/>
      <c r="E89" s="72"/>
      <c r="F89" s="73" t="str">
        <f t="shared" si="4"/>
        <v/>
      </c>
      <c r="G89" s="71"/>
      <c r="H89" s="72"/>
      <c r="I89" s="73" t="str">
        <f t="shared" si="5"/>
        <v/>
      </c>
    </row>
    <row r="90" spans="1:9" s="73" customFormat="1" ht="16.5">
      <c r="A90" s="71"/>
      <c r="B90" s="72"/>
      <c r="C90" s="73" t="str">
        <f t="shared" si="3"/>
        <v/>
      </c>
      <c r="D90" s="71"/>
      <c r="E90" s="72"/>
      <c r="F90" s="73" t="str">
        <f t="shared" si="4"/>
        <v/>
      </c>
      <c r="G90" s="71"/>
      <c r="H90" s="72"/>
      <c r="I90" s="73" t="str">
        <f t="shared" si="5"/>
        <v/>
      </c>
    </row>
    <row r="91" spans="1:9" s="73" customFormat="1" ht="16.5">
      <c r="A91" s="71"/>
      <c r="B91" s="72"/>
      <c r="C91" s="73" t="str">
        <f t="shared" si="3"/>
        <v/>
      </c>
      <c r="D91" s="71"/>
      <c r="E91" s="72"/>
      <c r="F91" s="73" t="str">
        <f t="shared" si="4"/>
        <v/>
      </c>
      <c r="G91" s="71"/>
      <c r="H91" s="72"/>
      <c r="I91" s="73" t="str">
        <f t="shared" si="5"/>
        <v/>
      </c>
    </row>
    <row r="92" spans="1:9" s="73" customFormat="1" ht="16.5">
      <c r="A92" s="71"/>
      <c r="B92" s="72"/>
      <c r="C92" s="73" t="str">
        <f t="shared" si="3"/>
        <v/>
      </c>
      <c r="D92" s="71"/>
      <c r="E92" s="72"/>
      <c r="F92" s="73" t="str">
        <f t="shared" si="4"/>
        <v/>
      </c>
      <c r="G92" s="71"/>
      <c r="H92" s="72"/>
      <c r="I92" s="73" t="str">
        <f t="shared" si="5"/>
        <v/>
      </c>
    </row>
    <row r="93" spans="1:9" s="73" customFormat="1" ht="16.5">
      <c r="A93" s="71"/>
      <c r="B93" s="72"/>
      <c r="C93" s="73" t="str">
        <f t="shared" si="3"/>
        <v/>
      </c>
      <c r="D93" s="71"/>
      <c r="E93" s="72"/>
      <c r="F93" s="73" t="str">
        <f t="shared" si="4"/>
        <v/>
      </c>
      <c r="G93" s="71"/>
      <c r="H93" s="72"/>
      <c r="I93" s="73" t="str">
        <f t="shared" si="5"/>
        <v/>
      </c>
    </row>
    <row r="94" spans="1:9" s="73" customFormat="1" ht="16.5">
      <c r="A94" s="71"/>
      <c r="B94" s="72"/>
      <c r="C94" s="73" t="str">
        <f t="shared" si="3"/>
        <v/>
      </c>
      <c r="D94" s="71"/>
      <c r="E94" s="72"/>
      <c r="F94" s="73" t="str">
        <f t="shared" si="4"/>
        <v/>
      </c>
      <c r="G94" s="71"/>
      <c r="H94" s="72"/>
      <c r="I94" s="73" t="str">
        <f t="shared" si="5"/>
        <v/>
      </c>
    </row>
    <row r="95" spans="1:9" s="73" customFormat="1" ht="16.5">
      <c r="A95" s="71"/>
      <c r="B95" s="72"/>
      <c r="C95" s="73" t="str">
        <f t="shared" si="3"/>
        <v/>
      </c>
      <c r="D95" s="71"/>
      <c r="E95" s="72"/>
      <c r="F95" s="73" t="str">
        <f t="shared" si="4"/>
        <v/>
      </c>
      <c r="G95" s="71"/>
      <c r="H95" s="72"/>
      <c r="I95" s="73" t="str">
        <f t="shared" si="5"/>
        <v/>
      </c>
    </row>
    <row r="96" spans="1:9" s="73" customFormat="1" ht="16.5">
      <c r="A96" s="71"/>
      <c r="B96" s="72"/>
      <c r="C96" s="73" t="str">
        <f t="shared" si="3"/>
        <v/>
      </c>
      <c r="D96" s="71"/>
      <c r="E96" s="72"/>
      <c r="F96" s="73" t="str">
        <f t="shared" si="4"/>
        <v/>
      </c>
      <c r="G96" s="71"/>
      <c r="H96" s="72"/>
      <c r="I96" s="73" t="str">
        <f t="shared" si="5"/>
        <v/>
      </c>
    </row>
    <row r="97" spans="1:9" s="73" customFormat="1" ht="16.5">
      <c r="A97" s="71"/>
      <c r="B97" s="72"/>
      <c r="C97" s="73" t="str">
        <f t="shared" si="3"/>
        <v/>
      </c>
      <c r="D97" s="71"/>
      <c r="E97" s="72"/>
      <c r="F97" s="73" t="str">
        <f t="shared" si="4"/>
        <v/>
      </c>
      <c r="G97" s="71"/>
      <c r="H97" s="72"/>
      <c r="I97" s="73" t="str">
        <f t="shared" si="5"/>
        <v/>
      </c>
    </row>
    <row r="98" spans="1:9" s="73" customFormat="1" ht="16.5">
      <c r="A98" s="71"/>
      <c r="B98" s="72"/>
      <c r="C98" s="73" t="str">
        <f t="shared" si="3"/>
        <v/>
      </c>
      <c r="D98" s="71"/>
      <c r="E98" s="72"/>
      <c r="F98" s="73" t="str">
        <f t="shared" si="4"/>
        <v/>
      </c>
      <c r="G98" s="71"/>
      <c r="H98" s="72"/>
      <c r="I98" s="73" t="str">
        <f t="shared" si="5"/>
        <v/>
      </c>
    </row>
    <row r="99" spans="1:9" s="73" customFormat="1" ht="16.5">
      <c r="A99" s="71"/>
      <c r="B99" s="72"/>
      <c r="C99" s="73" t="str">
        <f t="shared" si="3"/>
        <v/>
      </c>
      <c r="D99" s="71"/>
      <c r="E99" s="72"/>
      <c r="F99" s="73" t="str">
        <f t="shared" si="4"/>
        <v/>
      </c>
      <c r="G99" s="71"/>
      <c r="H99" s="72"/>
      <c r="I99" s="73" t="str">
        <f t="shared" si="5"/>
        <v/>
      </c>
    </row>
    <row r="100" spans="1:9" s="73" customFormat="1" ht="16.5">
      <c r="A100" s="71"/>
      <c r="B100" s="72"/>
      <c r="C100" s="73" t="str">
        <f t="shared" si="3"/>
        <v/>
      </c>
      <c r="D100" s="71"/>
      <c r="E100" s="72"/>
      <c r="F100" s="73" t="str">
        <f t="shared" si="4"/>
        <v/>
      </c>
      <c r="G100" s="71"/>
      <c r="H100" s="72"/>
      <c r="I100" s="73" t="str">
        <f t="shared" si="5"/>
        <v/>
      </c>
    </row>
    <row r="101" spans="1:9" s="73" customFormat="1" ht="16.5">
      <c r="A101" s="71"/>
      <c r="B101" s="72"/>
      <c r="C101" s="73" t="str">
        <f t="shared" si="3"/>
        <v/>
      </c>
      <c r="D101" s="71"/>
      <c r="E101" s="72"/>
      <c r="F101" s="73" t="str">
        <f t="shared" si="4"/>
        <v/>
      </c>
      <c r="G101" s="71"/>
      <c r="H101" s="72"/>
      <c r="I101" s="73" t="str">
        <f t="shared" si="5"/>
        <v/>
      </c>
    </row>
    <row r="102" spans="1:9" s="73" customFormat="1" ht="16.5">
      <c r="A102" s="71"/>
      <c r="B102" s="72"/>
      <c r="C102" s="73" t="str">
        <f t="shared" si="3"/>
        <v/>
      </c>
      <c r="D102" s="71"/>
      <c r="E102" s="72"/>
      <c r="F102" s="73" t="str">
        <f t="shared" si="4"/>
        <v/>
      </c>
      <c r="G102" s="71"/>
      <c r="H102" s="72"/>
      <c r="I102" s="73" t="str">
        <f t="shared" si="5"/>
        <v/>
      </c>
    </row>
    <row r="103" spans="1:9" s="73" customFormat="1" ht="16.5">
      <c r="A103" s="71"/>
      <c r="B103" s="72"/>
      <c r="C103" s="73" t="str">
        <f t="shared" si="3"/>
        <v/>
      </c>
      <c r="D103" s="71"/>
      <c r="E103" s="72"/>
      <c r="F103" s="73" t="str">
        <f t="shared" si="4"/>
        <v/>
      </c>
      <c r="G103" s="71"/>
      <c r="H103" s="72"/>
      <c r="I103" s="73" t="str">
        <f t="shared" si="5"/>
        <v/>
      </c>
    </row>
    <row r="104" spans="1:9" s="73" customFormat="1" ht="16.5">
      <c r="A104" s="71"/>
      <c r="B104" s="72"/>
      <c r="C104" s="73" t="str">
        <f t="shared" si="3"/>
        <v/>
      </c>
      <c r="D104" s="71"/>
      <c r="E104" s="72"/>
      <c r="F104" s="73" t="str">
        <f t="shared" si="4"/>
        <v/>
      </c>
      <c r="G104" s="71"/>
      <c r="H104" s="72"/>
      <c r="I104" s="73" t="str">
        <f t="shared" si="5"/>
        <v/>
      </c>
    </row>
    <row r="105" spans="1:9" s="73" customFormat="1" ht="16.5">
      <c r="A105" s="71"/>
      <c r="B105" s="72"/>
      <c r="C105" s="73" t="str">
        <f t="shared" si="3"/>
        <v/>
      </c>
      <c r="D105" s="71"/>
      <c r="E105" s="72"/>
      <c r="F105" s="73" t="str">
        <f t="shared" si="4"/>
        <v/>
      </c>
      <c r="G105" s="71"/>
      <c r="H105" s="72"/>
      <c r="I105" s="73" t="str">
        <f t="shared" si="5"/>
        <v/>
      </c>
    </row>
    <row r="106" spans="1:9" s="73" customFormat="1" ht="16.5">
      <c r="A106" s="71"/>
      <c r="B106" s="72"/>
      <c r="C106" s="73" t="str">
        <f t="shared" si="3"/>
        <v/>
      </c>
      <c r="D106" s="71"/>
      <c r="E106" s="72"/>
      <c r="F106" s="73" t="str">
        <f t="shared" si="4"/>
        <v/>
      </c>
      <c r="G106" s="71"/>
      <c r="H106" s="72"/>
      <c r="I106" s="73" t="str">
        <f t="shared" si="5"/>
        <v/>
      </c>
    </row>
    <row r="107" spans="1:9" s="73" customFormat="1" ht="16.5">
      <c r="A107" s="71"/>
      <c r="B107" s="72"/>
      <c r="C107" s="73" t="str">
        <f t="shared" si="3"/>
        <v/>
      </c>
      <c r="D107" s="71"/>
      <c r="E107" s="72"/>
      <c r="F107" s="73" t="str">
        <f t="shared" si="4"/>
        <v/>
      </c>
      <c r="G107" s="71"/>
      <c r="H107" s="72"/>
      <c r="I107" s="73" t="str">
        <f t="shared" si="5"/>
        <v/>
      </c>
    </row>
    <row r="108" spans="1:9" s="73" customFormat="1" ht="16.5">
      <c r="A108" s="71"/>
      <c r="B108" s="72"/>
      <c r="C108" s="73" t="str">
        <f t="shared" si="3"/>
        <v/>
      </c>
      <c r="D108" s="71"/>
      <c r="E108" s="72"/>
      <c r="F108" s="73" t="str">
        <f t="shared" si="4"/>
        <v/>
      </c>
      <c r="G108" s="71"/>
      <c r="H108" s="72"/>
      <c r="I108" s="73" t="str">
        <f t="shared" si="5"/>
        <v/>
      </c>
    </row>
    <row r="109" spans="1:9" s="73" customFormat="1" ht="16.5">
      <c r="A109" s="71"/>
      <c r="B109" s="72"/>
      <c r="C109" s="73" t="str">
        <f t="shared" si="3"/>
        <v/>
      </c>
      <c r="D109" s="71"/>
      <c r="E109" s="72"/>
      <c r="F109" s="73" t="str">
        <f t="shared" si="4"/>
        <v/>
      </c>
      <c r="G109" s="71"/>
      <c r="H109" s="72"/>
      <c r="I109" s="73" t="str">
        <f t="shared" si="5"/>
        <v/>
      </c>
    </row>
    <row r="110" spans="1:9" s="73" customFormat="1" ht="16.5">
      <c r="A110" s="71"/>
      <c r="B110" s="72"/>
      <c r="C110" s="73" t="str">
        <f t="shared" si="3"/>
        <v/>
      </c>
      <c r="D110" s="71"/>
      <c r="E110" s="72"/>
      <c r="F110" s="73" t="str">
        <f t="shared" si="4"/>
        <v/>
      </c>
      <c r="G110" s="71"/>
      <c r="H110" s="72"/>
      <c r="I110" s="73" t="str">
        <f t="shared" si="5"/>
        <v/>
      </c>
    </row>
    <row r="111" spans="1:9" s="73" customFormat="1" ht="16.5">
      <c r="A111" s="71"/>
      <c r="B111" s="72"/>
      <c r="C111" s="73" t="str">
        <f t="shared" si="3"/>
        <v/>
      </c>
      <c r="D111" s="71"/>
      <c r="E111" s="72"/>
      <c r="F111" s="73" t="str">
        <f t="shared" si="4"/>
        <v/>
      </c>
      <c r="G111" s="71"/>
      <c r="H111" s="72"/>
      <c r="I111" s="73" t="str">
        <f t="shared" si="5"/>
        <v/>
      </c>
    </row>
    <row r="112" spans="1:9" s="73" customFormat="1" ht="16.5">
      <c r="A112" s="71"/>
      <c r="B112" s="72"/>
      <c r="C112" s="73" t="str">
        <f t="shared" si="3"/>
        <v/>
      </c>
      <c r="D112" s="71"/>
      <c r="E112" s="72"/>
      <c r="F112" s="73" t="str">
        <f t="shared" si="4"/>
        <v/>
      </c>
      <c r="G112" s="71"/>
      <c r="H112" s="72"/>
      <c r="I112" s="73" t="str">
        <f t="shared" si="5"/>
        <v/>
      </c>
    </row>
    <row r="113" spans="1:9" s="73" customFormat="1" ht="16.5">
      <c r="A113" s="71"/>
      <c r="B113" s="72"/>
      <c r="C113" s="73" t="str">
        <f t="shared" si="3"/>
        <v/>
      </c>
      <c r="D113" s="71"/>
      <c r="E113" s="72"/>
      <c r="F113" s="73" t="str">
        <f t="shared" si="4"/>
        <v/>
      </c>
      <c r="G113" s="71"/>
      <c r="H113" s="72"/>
      <c r="I113" s="73" t="str">
        <f t="shared" si="5"/>
        <v/>
      </c>
    </row>
    <row r="114" spans="1:9" s="73" customFormat="1" ht="16.5">
      <c r="A114" s="71"/>
      <c r="B114" s="72"/>
      <c r="C114" s="73" t="str">
        <f t="shared" si="3"/>
        <v/>
      </c>
      <c r="D114" s="71"/>
      <c r="E114" s="72"/>
      <c r="F114" s="73" t="str">
        <f t="shared" si="4"/>
        <v/>
      </c>
      <c r="G114" s="71"/>
      <c r="H114" s="72"/>
      <c r="I114" s="73" t="str">
        <f t="shared" si="5"/>
        <v/>
      </c>
    </row>
    <row r="115" spans="1:9" s="73" customFormat="1" ht="16.5">
      <c r="A115" s="71"/>
      <c r="B115" s="72"/>
      <c r="C115" s="73" t="str">
        <f t="shared" si="3"/>
        <v/>
      </c>
      <c r="D115" s="71"/>
      <c r="E115" s="72"/>
      <c r="F115" s="73" t="str">
        <f t="shared" si="4"/>
        <v/>
      </c>
      <c r="G115" s="71"/>
      <c r="H115" s="72"/>
      <c r="I115" s="73" t="str">
        <f t="shared" si="5"/>
        <v/>
      </c>
    </row>
    <row r="116" spans="1:9" s="73" customFormat="1" ht="16.5">
      <c r="A116" s="71"/>
      <c r="B116" s="72"/>
      <c r="C116" s="73" t="str">
        <f t="shared" si="3"/>
        <v/>
      </c>
      <c r="D116" s="71"/>
      <c r="E116" s="72"/>
      <c r="F116" s="73" t="str">
        <f t="shared" si="4"/>
        <v/>
      </c>
      <c r="G116" s="71"/>
      <c r="H116" s="72"/>
      <c r="I116" s="73" t="str">
        <f t="shared" si="5"/>
        <v/>
      </c>
    </row>
    <row r="117" spans="1:9" s="73" customFormat="1" ht="16.5">
      <c r="A117" s="71"/>
      <c r="B117" s="72"/>
      <c r="C117" s="73" t="str">
        <f t="shared" si="3"/>
        <v/>
      </c>
      <c r="D117" s="71"/>
      <c r="E117" s="72"/>
      <c r="F117" s="73" t="str">
        <f t="shared" si="4"/>
        <v/>
      </c>
      <c r="G117" s="71"/>
      <c r="H117" s="72"/>
      <c r="I117" s="73" t="str">
        <f t="shared" si="5"/>
        <v/>
      </c>
    </row>
    <row r="118" spans="1:9" s="73" customFormat="1" ht="16.5">
      <c r="A118" s="71"/>
      <c r="B118" s="72"/>
      <c r="C118" s="73" t="str">
        <f t="shared" si="3"/>
        <v/>
      </c>
      <c r="D118" s="71"/>
      <c r="E118" s="72"/>
      <c r="F118" s="73" t="str">
        <f t="shared" si="4"/>
        <v/>
      </c>
      <c r="G118" s="71"/>
      <c r="H118" s="72"/>
      <c r="I118" s="73" t="str">
        <f t="shared" si="5"/>
        <v/>
      </c>
    </row>
    <row r="119" spans="1:9" s="73" customFormat="1" ht="16.5">
      <c r="A119" s="71"/>
      <c r="B119" s="72"/>
      <c r="C119" s="73" t="str">
        <f t="shared" si="3"/>
        <v/>
      </c>
      <c r="D119" s="71"/>
      <c r="E119" s="72"/>
      <c r="F119" s="73" t="str">
        <f t="shared" si="4"/>
        <v/>
      </c>
      <c r="G119" s="71"/>
      <c r="H119" s="72"/>
      <c r="I119" s="73" t="str">
        <f t="shared" si="5"/>
        <v/>
      </c>
    </row>
    <row r="120" spans="1:9" s="73" customFormat="1" ht="16.5">
      <c r="A120" s="71"/>
      <c r="B120" s="72"/>
      <c r="C120" s="73" t="str">
        <f t="shared" si="3"/>
        <v/>
      </c>
      <c r="D120" s="71"/>
      <c r="E120" s="72"/>
      <c r="F120" s="73" t="str">
        <f t="shared" si="4"/>
        <v/>
      </c>
      <c r="G120" s="71"/>
      <c r="H120" s="72"/>
      <c r="I120" s="73" t="str">
        <f t="shared" si="5"/>
        <v/>
      </c>
    </row>
    <row r="121" spans="1:9" s="73" customFormat="1" ht="16.5">
      <c r="A121" s="71"/>
      <c r="B121" s="72"/>
      <c r="C121" s="73" t="str">
        <f t="shared" si="3"/>
        <v/>
      </c>
      <c r="D121" s="71"/>
      <c r="E121" s="72"/>
      <c r="F121" s="73" t="str">
        <f t="shared" si="4"/>
        <v/>
      </c>
      <c r="G121" s="71"/>
      <c r="H121" s="72"/>
      <c r="I121" s="73" t="str">
        <f t="shared" si="5"/>
        <v/>
      </c>
    </row>
    <row r="122" spans="1:9" s="73" customFormat="1" ht="16.5">
      <c r="A122" s="71"/>
      <c r="B122" s="72"/>
      <c r="C122" s="73" t="str">
        <f t="shared" si="3"/>
        <v/>
      </c>
      <c r="D122" s="71"/>
      <c r="E122" s="72"/>
      <c r="F122" s="73" t="str">
        <f t="shared" si="4"/>
        <v/>
      </c>
      <c r="G122" s="71"/>
      <c r="H122" s="72"/>
      <c r="I122" s="73" t="str">
        <f t="shared" si="5"/>
        <v/>
      </c>
    </row>
    <row r="123" spans="1:9" s="73" customFormat="1" ht="16.5">
      <c r="A123" s="71"/>
      <c r="B123" s="72"/>
      <c r="C123" s="73" t="str">
        <f t="shared" si="3"/>
        <v/>
      </c>
      <c r="D123" s="71"/>
      <c r="E123" s="72"/>
      <c r="F123" s="73" t="str">
        <f t="shared" si="4"/>
        <v/>
      </c>
      <c r="G123" s="71"/>
      <c r="H123" s="72"/>
      <c r="I123" s="73" t="str">
        <f t="shared" si="5"/>
        <v/>
      </c>
    </row>
    <row r="124" spans="1:9" s="73" customFormat="1" ht="16.5">
      <c r="A124" s="71"/>
      <c r="B124" s="72"/>
      <c r="C124" s="73" t="str">
        <f t="shared" si="3"/>
        <v/>
      </c>
      <c r="D124" s="71"/>
      <c r="E124" s="72"/>
      <c r="F124" s="73" t="str">
        <f t="shared" si="4"/>
        <v/>
      </c>
      <c r="G124" s="71"/>
      <c r="H124" s="72"/>
      <c r="I124" s="73" t="str">
        <f t="shared" si="5"/>
        <v/>
      </c>
    </row>
    <row r="125" spans="1:9" s="73" customFormat="1" ht="16.5">
      <c r="A125" s="71"/>
      <c r="B125" s="72"/>
      <c r="C125" s="73" t="str">
        <f t="shared" si="3"/>
        <v/>
      </c>
      <c r="D125" s="71"/>
      <c r="E125" s="72"/>
      <c r="F125" s="73" t="str">
        <f t="shared" si="4"/>
        <v/>
      </c>
      <c r="G125" s="71"/>
      <c r="H125" s="72"/>
      <c r="I125" s="73" t="str">
        <f t="shared" si="5"/>
        <v/>
      </c>
    </row>
    <row r="126" spans="1:9" s="73" customFormat="1" ht="16.5">
      <c r="A126" s="71"/>
      <c r="B126" s="72"/>
      <c r="C126" s="73" t="str">
        <f t="shared" si="3"/>
        <v/>
      </c>
      <c r="D126" s="71"/>
      <c r="E126" s="72"/>
      <c r="F126" s="73" t="str">
        <f t="shared" si="4"/>
        <v/>
      </c>
      <c r="G126" s="71"/>
      <c r="H126" s="72"/>
      <c r="I126" s="73" t="str">
        <f t="shared" si="5"/>
        <v/>
      </c>
    </row>
    <row r="127" spans="1:9" s="73" customFormat="1" ht="16.5">
      <c r="A127" s="71"/>
      <c r="B127" s="72"/>
      <c r="C127" s="73" t="str">
        <f t="shared" si="3"/>
        <v/>
      </c>
      <c r="D127" s="71"/>
      <c r="E127" s="72"/>
      <c r="F127" s="73" t="str">
        <f t="shared" si="4"/>
        <v/>
      </c>
      <c r="G127" s="71"/>
      <c r="H127" s="72"/>
      <c r="I127" s="73" t="str">
        <f t="shared" si="5"/>
        <v/>
      </c>
    </row>
    <row r="128" spans="1:9" s="73" customFormat="1" ht="16.5">
      <c r="A128" s="71"/>
      <c r="B128" s="72"/>
      <c r="C128" s="73" t="str">
        <f t="shared" si="3"/>
        <v/>
      </c>
      <c r="D128" s="71"/>
      <c r="E128" s="72"/>
      <c r="F128" s="73" t="str">
        <f t="shared" si="4"/>
        <v/>
      </c>
      <c r="G128" s="71"/>
      <c r="H128" s="72"/>
      <c r="I128" s="73" t="str">
        <f t="shared" si="5"/>
        <v/>
      </c>
    </row>
    <row r="129" spans="1:9" s="73" customFormat="1" ht="16.5">
      <c r="A129" s="71"/>
      <c r="B129" s="72"/>
      <c r="C129" s="73" t="str">
        <f t="shared" si="3"/>
        <v/>
      </c>
      <c r="D129" s="71"/>
      <c r="E129" s="72"/>
      <c r="F129" s="73" t="str">
        <f t="shared" si="4"/>
        <v/>
      </c>
      <c r="G129" s="71"/>
      <c r="H129" s="72"/>
      <c r="I129" s="73" t="str">
        <f t="shared" si="5"/>
        <v/>
      </c>
    </row>
    <row r="130" spans="1:9" s="73" customFormat="1" ht="16.5">
      <c r="A130" s="71"/>
      <c r="B130" s="72"/>
      <c r="C130" s="73" t="str">
        <f t="shared" si="3"/>
        <v/>
      </c>
      <c r="D130" s="71"/>
      <c r="E130" s="72"/>
      <c r="F130" s="73" t="str">
        <f t="shared" si="4"/>
        <v/>
      </c>
      <c r="G130" s="71"/>
      <c r="H130" s="72"/>
      <c r="I130" s="73" t="str">
        <f t="shared" si="5"/>
        <v/>
      </c>
    </row>
    <row r="131" spans="1:9" s="73" customFormat="1" ht="16.5">
      <c r="A131" s="71"/>
      <c r="B131" s="72"/>
      <c r="C131" s="73" t="str">
        <f t="shared" si="3"/>
        <v/>
      </c>
      <c r="D131" s="71"/>
      <c r="E131" s="72"/>
      <c r="F131" s="73" t="str">
        <f t="shared" si="4"/>
        <v/>
      </c>
      <c r="G131" s="71"/>
      <c r="H131" s="72"/>
      <c r="I131" s="73" t="str">
        <f t="shared" si="5"/>
        <v/>
      </c>
    </row>
    <row r="132" spans="1:9" s="73" customFormat="1" ht="16.5">
      <c r="A132" s="71"/>
      <c r="B132" s="72"/>
      <c r="C132" s="73" t="str">
        <f t="shared" si="3"/>
        <v/>
      </c>
      <c r="D132" s="71"/>
      <c r="E132" s="72"/>
      <c r="F132" s="73" t="str">
        <f t="shared" si="4"/>
        <v/>
      </c>
      <c r="G132" s="71"/>
      <c r="H132" s="72"/>
      <c r="I132" s="73" t="str">
        <f t="shared" si="5"/>
        <v/>
      </c>
    </row>
    <row r="133" spans="1:9" s="73" customFormat="1" ht="16.5">
      <c r="A133" s="71"/>
      <c r="B133" s="72"/>
      <c r="C133" s="73" t="str">
        <f t="shared" ref="C133:C196" si="6">IF(B133&gt;0,TEXT(B133,"(aaa)"),"")</f>
        <v/>
      </c>
      <c r="D133" s="71"/>
      <c r="E133" s="72"/>
      <c r="F133" s="73" t="str">
        <f t="shared" ref="F133:F196" si="7">IF(E133&gt;0,TEXT(E133,"(aaa)"),"")</f>
        <v/>
      </c>
      <c r="G133" s="71"/>
      <c r="H133" s="72"/>
      <c r="I133" s="73" t="str">
        <f t="shared" ref="I133:I196" si="8">IF(H133&gt;0,TEXT(H133,"(aaa)"),"")</f>
        <v/>
      </c>
    </row>
    <row r="134" spans="1:9" s="73" customFormat="1" ht="16.5">
      <c r="A134" s="71"/>
      <c r="B134" s="72"/>
      <c r="C134" s="73" t="str">
        <f t="shared" si="6"/>
        <v/>
      </c>
      <c r="D134" s="71"/>
      <c r="E134" s="72"/>
      <c r="F134" s="73" t="str">
        <f t="shared" si="7"/>
        <v/>
      </c>
      <c r="G134" s="71"/>
      <c r="H134" s="72"/>
      <c r="I134" s="73" t="str">
        <f t="shared" si="8"/>
        <v/>
      </c>
    </row>
    <row r="135" spans="1:9" s="73" customFormat="1" ht="16.5">
      <c r="A135" s="71"/>
      <c r="B135" s="72"/>
      <c r="C135" s="73" t="str">
        <f t="shared" si="6"/>
        <v/>
      </c>
      <c r="D135" s="71"/>
      <c r="E135" s="72"/>
      <c r="F135" s="73" t="str">
        <f t="shared" si="7"/>
        <v/>
      </c>
      <c r="G135" s="71"/>
      <c r="H135" s="72"/>
      <c r="I135" s="73" t="str">
        <f t="shared" si="8"/>
        <v/>
      </c>
    </row>
    <row r="136" spans="1:9" s="73" customFormat="1" ht="16.5">
      <c r="A136" s="71"/>
      <c r="B136" s="72"/>
      <c r="C136" s="73" t="str">
        <f t="shared" si="6"/>
        <v/>
      </c>
      <c r="D136" s="71"/>
      <c r="E136" s="72"/>
      <c r="F136" s="73" t="str">
        <f t="shared" si="7"/>
        <v/>
      </c>
      <c r="G136" s="71"/>
      <c r="H136" s="72"/>
      <c r="I136" s="73" t="str">
        <f t="shared" si="8"/>
        <v/>
      </c>
    </row>
    <row r="137" spans="1:9" s="73" customFormat="1" ht="16.5">
      <c r="A137" s="71"/>
      <c r="B137" s="72"/>
      <c r="C137" s="73" t="str">
        <f t="shared" si="6"/>
        <v/>
      </c>
      <c r="D137" s="71"/>
      <c r="E137" s="72"/>
      <c r="F137" s="73" t="str">
        <f t="shared" si="7"/>
        <v/>
      </c>
      <c r="G137" s="71"/>
      <c r="H137" s="72"/>
      <c r="I137" s="73" t="str">
        <f t="shared" si="8"/>
        <v/>
      </c>
    </row>
    <row r="138" spans="1:9" s="73" customFormat="1" ht="16.5">
      <c r="A138" s="71"/>
      <c r="B138" s="72"/>
      <c r="C138" s="73" t="str">
        <f t="shared" si="6"/>
        <v/>
      </c>
      <c r="D138" s="71"/>
      <c r="E138" s="72"/>
      <c r="F138" s="73" t="str">
        <f t="shared" si="7"/>
        <v/>
      </c>
      <c r="G138" s="71"/>
      <c r="H138" s="72"/>
      <c r="I138" s="73" t="str">
        <f t="shared" si="8"/>
        <v/>
      </c>
    </row>
    <row r="139" spans="1:9" s="73" customFormat="1" ht="16.5">
      <c r="A139" s="71"/>
      <c r="B139" s="72"/>
      <c r="C139" s="73" t="str">
        <f t="shared" si="6"/>
        <v/>
      </c>
      <c r="D139" s="71"/>
      <c r="E139" s="72"/>
      <c r="F139" s="73" t="str">
        <f t="shared" si="7"/>
        <v/>
      </c>
      <c r="G139" s="71"/>
      <c r="H139" s="72"/>
      <c r="I139" s="73" t="str">
        <f t="shared" si="8"/>
        <v/>
      </c>
    </row>
    <row r="140" spans="1:9" s="73" customFormat="1" ht="16.5">
      <c r="A140" s="71"/>
      <c r="B140" s="72"/>
      <c r="C140" s="73" t="str">
        <f t="shared" si="6"/>
        <v/>
      </c>
      <c r="D140" s="71"/>
      <c r="E140" s="72"/>
      <c r="F140" s="73" t="str">
        <f t="shared" si="7"/>
        <v/>
      </c>
      <c r="G140" s="71"/>
      <c r="H140" s="72"/>
      <c r="I140" s="73" t="str">
        <f t="shared" si="8"/>
        <v/>
      </c>
    </row>
    <row r="141" spans="1:9" s="73" customFormat="1" ht="16.5">
      <c r="A141" s="71"/>
      <c r="B141" s="72"/>
      <c r="C141" s="73" t="str">
        <f t="shared" si="6"/>
        <v/>
      </c>
      <c r="D141" s="71"/>
      <c r="E141" s="72"/>
      <c r="F141" s="73" t="str">
        <f t="shared" si="7"/>
        <v/>
      </c>
      <c r="G141" s="71"/>
      <c r="H141" s="72"/>
      <c r="I141" s="73" t="str">
        <f t="shared" si="8"/>
        <v/>
      </c>
    </row>
    <row r="142" spans="1:9" s="73" customFormat="1" ht="16.5">
      <c r="A142" s="71"/>
      <c r="B142" s="72"/>
      <c r="C142" s="73" t="str">
        <f t="shared" si="6"/>
        <v/>
      </c>
      <c r="D142" s="71"/>
      <c r="E142" s="72"/>
      <c r="F142" s="73" t="str">
        <f t="shared" si="7"/>
        <v/>
      </c>
      <c r="G142" s="71"/>
      <c r="H142" s="72"/>
      <c r="I142" s="73" t="str">
        <f t="shared" si="8"/>
        <v/>
      </c>
    </row>
    <row r="143" spans="1:9" s="73" customFormat="1" ht="16.5">
      <c r="A143" s="71"/>
      <c r="B143" s="72"/>
      <c r="C143" s="73" t="str">
        <f t="shared" si="6"/>
        <v/>
      </c>
      <c r="D143" s="71"/>
      <c r="E143" s="72"/>
      <c r="F143" s="73" t="str">
        <f t="shared" si="7"/>
        <v/>
      </c>
      <c r="G143" s="71"/>
      <c r="H143" s="72"/>
      <c r="I143" s="73" t="str">
        <f t="shared" si="8"/>
        <v/>
      </c>
    </row>
    <row r="144" spans="1:9" s="73" customFormat="1" ht="16.5">
      <c r="A144" s="71"/>
      <c r="B144" s="72"/>
      <c r="C144" s="73" t="str">
        <f t="shared" si="6"/>
        <v/>
      </c>
      <c r="D144" s="71"/>
      <c r="E144" s="72"/>
      <c r="F144" s="73" t="str">
        <f t="shared" si="7"/>
        <v/>
      </c>
      <c r="G144" s="71"/>
      <c r="H144" s="72"/>
      <c r="I144" s="73" t="str">
        <f t="shared" si="8"/>
        <v/>
      </c>
    </row>
    <row r="145" spans="1:9" s="73" customFormat="1" ht="16.5">
      <c r="A145" s="71"/>
      <c r="B145" s="72"/>
      <c r="C145" s="73" t="str">
        <f t="shared" si="6"/>
        <v/>
      </c>
      <c r="D145" s="71"/>
      <c r="E145" s="72"/>
      <c r="F145" s="73" t="str">
        <f t="shared" si="7"/>
        <v/>
      </c>
      <c r="G145" s="71"/>
      <c r="H145" s="72"/>
      <c r="I145" s="73" t="str">
        <f t="shared" si="8"/>
        <v/>
      </c>
    </row>
    <row r="146" spans="1:9" s="73" customFormat="1" ht="16.5">
      <c r="A146" s="71"/>
      <c r="B146" s="72"/>
      <c r="C146" s="73" t="str">
        <f t="shared" si="6"/>
        <v/>
      </c>
      <c r="D146" s="71"/>
      <c r="E146" s="72"/>
      <c r="F146" s="73" t="str">
        <f t="shared" si="7"/>
        <v/>
      </c>
      <c r="G146" s="71"/>
      <c r="H146" s="72"/>
      <c r="I146" s="73" t="str">
        <f t="shared" si="8"/>
        <v/>
      </c>
    </row>
    <row r="147" spans="1:9" s="73" customFormat="1" ht="16.5">
      <c r="A147" s="71"/>
      <c r="B147" s="72"/>
      <c r="C147" s="73" t="str">
        <f t="shared" si="6"/>
        <v/>
      </c>
      <c r="D147" s="71"/>
      <c r="E147" s="72"/>
      <c r="F147" s="73" t="str">
        <f t="shared" si="7"/>
        <v/>
      </c>
      <c r="G147" s="71"/>
      <c r="H147" s="72"/>
      <c r="I147" s="73" t="str">
        <f t="shared" si="8"/>
        <v/>
      </c>
    </row>
    <row r="148" spans="1:9" s="73" customFormat="1" ht="16.5">
      <c r="A148" s="71"/>
      <c r="B148" s="72"/>
      <c r="C148" s="73" t="str">
        <f t="shared" si="6"/>
        <v/>
      </c>
      <c r="D148" s="71"/>
      <c r="E148" s="72"/>
      <c r="F148" s="73" t="str">
        <f t="shared" si="7"/>
        <v/>
      </c>
      <c r="G148" s="71"/>
      <c r="H148" s="72"/>
      <c r="I148" s="73" t="str">
        <f t="shared" si="8"/>
        <v/>
      </c>
    </row>
    <row r="149" spans="1:9" s="73" customFormat="1" ht="16.5">
      <c r="A149" s="71"/>
      <c r="B149" s="72"/>
      <c r="C149" s="73" t="str">
        <f t="shared" si="6"/>
        <v/>
      </c>
      <c r="D149" s="71"/>
      <c r="E149" s="72"/>
      <c r="F149" s="73" t="str">
        <f t="shared" si="7"/>
        <v/>
      </c>
      <c r="G149" s="71"/>
      <c r="H149" s="72"/>
      <c r="I149" s="73" t="str">
        <f t="shared" si="8"/>
        <v/>
      </c>
    </row>
    <row r="150" spans="1:9" s="73" customFormat="1" ht="16.5">
      <c r="A150" s="71"/>
      <c r="B150" s="72"/>
      <c r="C150" s="73" t="str">
        <f t="shared" si="6"/>
        <v/>
      </c>
      <c r="D150" s="71"/>
      <c r="E150" s="72"/>
      <c r="F150" s="73" t="str">
        <f t="shared" si="7"/>
        <v/>
      </c>
      <c r="G150" s="71"/>
      <c r="H150" s="72"/>
      <c r="I150" s="73" t="str">
        <f t="shared" si="8"/>
        <v/>
      </c>
    </row>
    <row r="151" spans="1:9" s="73" customFormat="1" ht="16.5">
      <c r="A151" s="71"/>
      <c r="B151" s="72"/>
      <c r="C151" s="73" t="str">
        <f t="shared" si="6"/>
        <v/>
      </c>
      <c r="D151" s="71"/>
      <c r="E151" s="72"/>
      <c r="F151" s="73" t="str">
        <f t="shared" si="7"/>
        <v/>
      </c>
      <c r="G151" s="71"/>
      <c r="H151" s="72"/>
      <c r="I151" s="73" t="str">
        <f t="shared" si="8"/>
        <v/>
      </c>
    </row>
    <row r="152" spans="1:9" s="73" customFormat="1" ht="16.5">
      <c r="A152" s="71"/>
      <c r="B152" s="72"/>
      <c r="C152" s="73" t="str">
        <f t="shared" si="6"/>
        <v/>
      </c>
      <c r="D152" s="71"/>
      <c r="E152" s="72"/>
      <c r="F152" s="73" t="str">
        <f t="shared" si="7"/>
        <v/>
      </c>
      <c r="G152" s="71"/>
      <c r="H152" s="72"/>
      <c r="I152" s="73" t="str">
        <f t="shared" si="8"/>
        <v/>
      </c>
    </row>
    <row r="153" spans="1:9" s="73" customFormat="1" ht="16.5">
      <c r="A153" s="71"/>
      <c r="B153" s="72"/>
      <c r="C153" s="73" t="str">
        <f t="shared" si="6"/>
        <v/>
      </c>
      <c r="D153" s="71"/>
      <c r="E153" s="72"/>
      <c r="F153" s="73" t="str">
        <f t="shared" si="7"/>
        <v/>
      </c>
      <c r="G153" s="71"/>
      <c r="H153" s="72"/>
      <c r="I153" s="73" t="str">
        <f t="shared" si="8"/>
        <v/>
      </c>
    </row>
    <row r="154" spans="1:9" s="73" customFormat="1" ht="16.5">
      <c r="A154" s="71"/>
      <c r="B154" s="72"/>
      <c r="C154" s="73" t="str">
        <f t="shared" si="6"/>
        <v/>
      </c>
      <c r="D154" s="71"/>
      <c r="E154" s="72"/>
      <c r="F154" s="73" t="str">
        <f t="shared" si="7"/>
        <v/>
      </c>
      <c r="G154" s="71"/>
      <c r="H154" s="72"/>
      <c r="I154" s="73" t="str">
        <f t="shared" si="8"/>
        <v/>
      </c>
    </row>
    <row r="155" spans="1:9" s="73" customFormat="1" ht="16.5">
      <c r="A155" s="71"/>
      <c r="B155" s="72"/>
      <c r="C155" s="73" t="str">
        <f t="shared" si="6"/>
        <v/>
      </c>
      <c r="D155" s="71"/>
      <c r="E155" s="72"/>
      <c r="F155" s="73" t="str">
        <f t="shared" si="7"/>
        <v/>
      </c>
      <c r="G155" s="71"/>
      <c r="H155" s="72"/>
      <c r="I155" s="73" t="str">
        <f t="shared" si="8"/>
        <v/>
      </c>
    </row>
    <row r="156" spans="1:9" s="73" customFormat="1" ht="16.5">
      <c r="A156" s="71"/>
      <c r="B156" s="72"/>
      <c r="C156" s="73" t="str">
        <f t="shared" si="6"/>
        <v/>
      </c>
      <c r="D156" s="71"/>
      <c r="E156" s="72"/>
      <c r="F156" s="73" t="str">
        <f t="shared" si="7"/>
        <v/>
      </c>
      <c r="G156" s="71"/>
      <c r="H156" s="72"/>
      <c r="I156" s="73" t="str">
        <f t="shared" si="8"/>
        <v/>
      </c>
    </row>
    <row r="157" spans="1:9" s="73" customFormat="1" ht="16.5">
      <c r="A157" s="71"/>
      <c r="B157" s="72"/>
      <c r="C157" s="73" t="str">
        <f t="shared" si="6"/>
        <v/>
      </c>
      <c r="D157" s="71"/>
      <c r="E157" s="72"/>
      <c r="F157" s="73" t="str">
        <f t="shared" si="7"/>
        <v/>
      </c>
      <c r="G157" s="71"/>
      <c r="H157" s="72"/>
      <c r="I157" s="73" t="str">
        <f t="shared" si="8"/>
        <v/>
      </c>
    </row>
    <row r="158" spans="1:9" s="73" customFormat="1" ht="16.5">
      <c r="A158" s="71"/>
      <c r="B158" s="72"/>
      <c r="C158" s="73" t="str">
        <f t="shared" si="6"/>
        <v/>
      </c>
      <c r="D158" s="71"/>
      <c r="E158" s="72"/>
      <c r="F158" s="73" t="str">
        <f t="shared" si="7"/>
        <v/>
      </c>
      <c r="G158" s="71"/>
      <c r="H158" s="72"/>
      <c r="I158" s="73" t="str">
        <f t="shared" si="8"/>
        <v/>
      </c>
    </row>
    <row r="159" spans="1:9" s="73" customFormat="1" ht="16.5">
      <c r="A159" s="71"/>
      <c r="B159" s="72"/>
      <c r="C159" s="73" t="str">
        <f t="shared" si="6"/>
        <v/>
      </c>
      <c r="D159" s="71"/>
      <c r="E159" s="72"/>
      <c r="F159" s="73" t="str">
        <f t="shared" si="7"/>
        <v/>
      </c>
      <c r="G159" s="71"/>
      <c r="H159" s="72"/>
      <c r="I159" s="73" t="str">
        <f t="shared" si="8"/>
        <v/>
      </c>
    </row>
    <row r="160" spans="1:9" s="73" customFormat="1" ht="16.5">
      <c r="A160" s="71"/>
      <c r="B160" s="72"/>
      <c r="C160" s="73" t="str">
        <f t="shared" si="6"/>
        <v/>
      </c>
      <c r="D160" s="71"/>
      <c r="E160" s="72"/>
      <c r="F160" s="73" t="str">
        <f t="shared" si="7"/>
        <v/>
      </c>
      <c r="G160" s="71"/>
      <c r="H160" s="72"/>
      <c r="I160" s="73" t="str">
        <f t="shared" si="8"/>
        <v/>
      </c>
    </row>
    <row r="161" spans="1:9" s="73" customFormat="1" ht="16.5">
      <c r="A161" s="71"/>
      <c r="B161" s="72"/>
      <c r="C161" s="73" t="str">
        <f t="shared" si="6"/>
        <v/>
      </c>
      <c r="D161" s="71"/>
      <c r="E161" s="72"/>
      <c r="F161" s="73" t="str">
        <f t="shared" si="7"/>
        <v/>
      </c>
      <c r="G161" s="71"/>
      <c r="H161" s="72"/>
      <c r="I161" s="73" t="str">
        <f t="shared" si="8"/>
        <v/>
      </c>
    </row>
    <row r="162" spans="1:9" s="73" customFormat="1" ht="16.5">
      <c r="A162" s="71"/>
      <c r="B162" s="72"/>
      <c r="C162" s="73" t="str">
        <f t="shared" si="6"/>
        <v/>
      </c>
      <c r="D162" s="71"/>
      <c r="E162" s="72"/>
      <c r="F162" s="73" t="str">
        <f t="shared" si="7"/>
        <v/>
      </c>
      <c r="G162" s="71"/>
      <c r="H162" s="72"/>
      <c r="I162" s="73" t="str">
        <f t="shared" si="8"/>
        <v/>
      </c>
    </row>
    <row r="163" spans="1:9" s="73" customFormat="1" ht="16.5">
      <c r="A163" s="71"/>
      <c r="B163" s="72"/>
      <c r="C163" s="73" t="str">
        <f t="shared" si="6"/>
        <v/>
      </c>
      <c r="D163" s="71"/>
      <c r="E163" s="72"/>
      <c r="F163" s="73" t="str">
        <f t="shared" si="7"/>
        <v/>
      </c>
      <c r="G163" s="71"/>
      <c r="H163" s="72"/>
      <c r="I163" s="73" t="str">
        <f t="shared" si="8"/>
        <v/>
      </c>
    </row>
    <row r="164" spans="1:9" s="73" customFormat="1" ht="16.5">
      <c r="A164" s="71"/>
      <c r="B164" s="72"/>
      <c r="C164" s="73" t="str">
        <f t="shared" si="6"/>
        <v/>
      </c>
      <c r="D164" s="71"/>
      <c r="E164" s="72"/>
      <c r="F164" s="73" t="str">
        <f t="shared" si="7"/>
        <v/>
      </c>
      <c r="G164" s="71"/>
      <c r="H164" s="72"/>
      <c r="I164" s="73" t="str">
        <f t="shared" si="8"/>
        <v/>
      </c>
    </row>
    <row r="165" spans="1:9" s="73" customFormat="1" ht="16.5">
      <c r="A165" s="71"/>
      <c r="B165" s="72"/>
      <c r="C165" s="73" t="str">
        <f t="shared" si="6"/>
        <v/>
      </c>
      <c r="D165" s="71"/>
      <c r="E165" s="72"/>
      <c r="F165" s="73" t="str">
        <f t="shared" si="7"/>
        <v/>
      </c>
      <c r="G165" s="71"/>
      <c r="H165" s="72"/>
      <c r="I165" s="73" t="str">
        <f t="shared" si="8"/>
        <v/>
      </c>
    </row>
    <row r="166" spans="1:9" s="73" customFormat="1" ht="16.5">
      <c r="A166" s="71"/>
      <c r="B166" s="72"/>
      <c r="C166" s="73" t="str">
        <f t="shared" si="6"/>
        <v/>
      </c>
      <c r="D166" s="71"/>
      <c r="E166" s="72"/>
      <c r="F166" s="73" t="str">
        <f t="shared" si="7"/>
        <v/>
      </c>
      <c r="G166" s="71"/>
      <c r="H166" s="72"/>
      <c r="I166" s="73" t="str">
        <f t="shared" si="8"/>
        <v/>
      </c>
    </row>
    <row r="167" spans="1:9" s="73" customFormat="1" ht="16.5">
      <c r="A167" s="71"/>
      <c r="B167" s="72"/>
      <c r="C167" s="73" t="str">
        <f t="shared" si="6"/>
        <v/>
      </c>
      <c r="D167" s="71"/>
      <c r="E167" s="72"/>
      <c r="F167" s="73" t="str">
        <f t="shared" si="7"/>
        <v/>
      </c>
      <c r="G167" s="71"/>
      <c r="H167" s="72"/>
      <c r="I167" s="73" t="str">
        <f t="shared" si="8"/>
        <v/>
      </c>
    </row>
    <row r="168" spans="1:9" s="73" customFormat="1" ht="16.5">
      <c r="A168" s="71"/>
      <c r="B168" s="72"/>
      <c r="C168" s="73" t="str">
        <f t="shared" si="6"/>
        <v/>
      </c>
      <c r="D168" s="71"/>
      <c r="E168" s="72"/>
      <c r="F168" s="73" t="str">
        <f t="shared" si="7"/>
        <v/>
      </c>
      <c r="G168" s="71"/>
      <c r="H168" s="72"/>
      <c r="I168" s="73" t="str">
        <f t="shared" si="8"/>
        <v/>
      </c>
    </row>
    <row r="169" spans="1:9" s="73" customFormat="1" ht="16.5">
      <c r="A169" s="71"/>
      <c r="B169" s="72"/>
      <c r="C169" s="73" t="str">
        <f t="shared" si="6"/>
        <v/>
      </c>
      <c r="D169" s="71"/>
      <c r="E169" s="72"/>
      <c r="F169" s="73" t="str">
        <f t="shared" si="7"/>
        <v/>
      </c>
      <c r="G169" s="71"/>
      <c r="H169" s="72"/>
      <c r="I169" s="73" t="str">
        <f t="shared" si="8"/>
        <v/>
      </c>
    </row>
    <row r="170" spans="1:9" s="73" customFormat="1" ht="16.5">
      <c r="A170" s="71"/>
      <c r="B170" s="72"/>
      <c r="C170" s="73" t="str">
        <f t="shared" si="6"/>
        <v/>
      </c>
      <c r="D170" s="71"/>
      <c r="E170" s="72"/>
      <c r="F170" s="73" t="str">
        <f t="shared" si="7"/>
        <v/>
      </c>
      <c r="G170" s="71"/>
      <c r="H170" s="72"/>
      <c r="I170" s="73" t="str">
        <f t="shared" si="8"/>
        <v/>
      </c>
    </row>
    <row r="171" spans="1:9" s="73" customFormat="1" ht="16.5">
      <c r="A171" s="71"/>
      <c r="B171" s="72"/>
      <c r="C171" s="73" t="str">
        <f t="shared" si="6"/>
        <v/>
      </c>
      <c r="D171" s="71"/>
      <c r="E171" s="72"/>
      <c r="F171" s="73" t="str">
        <f t="shared" si="7"/>
        <v/>
      </c>
      <c r="G171" s="71"/>
      <c r="H171" s="72"/>
      <c r="I171" s="73" t="str">
        <f t="shared" si="8"/>
        <v/>
      </c>
    </row>
    <row r="172" spans="1:9" s="73" customFormat="1" ht="16.5">
      <c r="A172" s="71"/>
      <c r="B172" s="72"/>
      <c r="C172" s="73" t="str">
        <f t="shared" si="6"/>
        <v/>
      </c>
      <c r="D172" s="71"/>
      <c r="E172" s="72"/>
      <c r="F172" s="73" t="str">
        <f t="shared" si="7"/>
        <v/>
      </c>
      <c r="G172" s="71"/>
      <c r="H172" s="72"/>
      <c r="I172" s="73" t="str">
        <f t="shared" si="8"/>
        <v/>
      </c>
    </row>
    <row r="173" spans="1:9" s="73" customFormat="1" ht="16.5">
      <c r="A173" s="71"/>
      <c r="B173" s="72"/>
      <c r="C173" s="73" t="str">
        <f t="shared" si="6"/>
        <v/>
      </c>
      <c r="D173" s="71"/>
      <c r="E173" s="72"/>
      <c r="F173" s="73" t="str">
        <f t="shared" si="7"/>
        <v/>
      </c>
      <c r="G173" s="71"/>
      <c r="H173" s="72"/>
      <c r="I173" s="73" t="str">
        <f t="shared" si="8"/>
        <v/>
      </c>
    </row>
    <row r="174" spans="1:9" s="73" customFormat="1" ht="16.5">
      <c r="A174" s="71"/>
      <c r="B174" s="72"/>
      <c r="C174" s="73" t="str">
        <f t="shared" si="6"/>
        <v/>
      </c>
      <c r="D174" s="71"/>
      <c r="E174" s="72"/>
      <c r="F174" s="73" t="str">
        <f t="shared" si="7"/>
        <v/>
      </c>
      <c r="G174" s="71"/>
      <c r="H174" s="72"/>
      <c r="I174" s="73" t="str">
        <f t="shared" si="8"/>
        <v/>
      </c>
    </row>
    <row r="175" spans="1:9" s="73" customFormat="1" ht="16.5">
      <c r="A175" s="71"/>
      <c r="B175" s="72"/>
      <c r="C175" s="73" t="str">
        <f t="shared" si="6"/>
        <v/>
      </c>
      <c r="D175" s="71"/>
      <c r="E175" s="72"/>
      <c r="F175" s="73" t="str">
        <f t="shared" si="7"/>
        <v/>
      </c>
      <c r="G175" s="71"/>
      <c r="H175" s="72"/>
      <c r="I175" s="73" t="str">
        <f t="shared" si="8"/>
        <v/>
      </c>
    </row>
    <row r="176" spans="1:9" s="73" customFormat="1" ht="16.5">
      <c r="A176" s="71"/>
      <c r="B176" s="72"/>
      <c r="C176" s="73" t="str">
        <f t="shared" si="6"/>
        <v/>
      </c>
      <c r="D176" s="71"/>
      <c r="E176" s="72"/>
      <c r="F176" s="73" t="str">
        <f t="shared" si="7"/>
        <v/>
      </c>
      <c r="G176" s="71"/>
      <c r="H176" s="72"/>
      <c r="I176" s="73" t="str">
        <f t="shared" si="8"/>
        <v/>
      </c>
    </row>
    <row r="177" spans="1:9" s="73" customFormat="1" ht="16.5">
      <c r="A177" s="71"/>
      <c r="B177" s="72"/>
      <c r="C177" s="73" t="str">
        <f t="shared" si="6"/>
        <v/>
      </c>
      <c r="D177" s="71"/>
      <c r="E177" s="72"/>
      <c r="F177" s="73" t="str">
        <f t="shared" si="7"/>
        <v/>
      </c>
      <c r="G177" s="71"/>
      <c r="H177" s="72"/>
      <c r="I177" s="73" t="str">
        <f t="shared" si="8"/>
        <v/>
      </c>
    </row>
    <row r="178" spans="1:9" s="73" customFormat="1" ht="16.5">
      <c r="A178" s="71"/>
      <c r="B178" s="72"/>
      <c r="C178" s="73" t="str">
        <f t="shared" si="6"/>
        <v/>
      </c>
      <c r="D178" s="71"/>
      <c r="E178" s="72"/>
      <c r="F178" s="73" t="str">
        <f t="shared" si="7"/>
        <v/>
      </c>
      <c r="G178" s="71"/>
      <c r="H178" s="72"/>
      <c r="I178" s="73" t="str">
        <f t="shared" si="8"/>
        <v/>
      </c>
    </row>
    <row r="179" spans="1:9" s="73" customFormat="1" ht="16.5">
      <c r="A179" s="71"/>
      <c r="B179" s="72"/>
      <c r="C179" s="73" t="str">
        <f t="shared" si="6"/>
        <v/>
      </c>
      <c r="D179" s="71"/>
      <c r="E179" s="72"/>
      <c r="F179" s="73" t="str">
        <f t="shared" si="7"/>
        <v/>
      </c>
      <c r="G179" s="71"/>
      <c r="H179" s="72"/>
      <c r="I179" s="73" t="str">
        <f t="shared" si="8"/>
        <v/>
      </c>
    </row>
    <row r="180" spans="1:9" s="73" customFormat="1" ht="16.5">
      <c r="A180" s="71"/>
      <c r="B180" s="72"/>
      <c r="C180" s="73" t="str">
        <f t="shared" si="6"/>
        <v/>
      </c>
      <c r="D180" s="71"/>
      <c r="E180" s="72"/>
      <c r="F180" s="73" t="str">
        <f t="shared" si="7"/>
        <v/>
      </c>
      <c r="G180" s="71"/>
      <c r="H180" s="72"/>
      <c r="I180" s="73" t="str">
        <f t="shared" si="8"/>
        <v/>
      </c>
    </row>
    <row r="181" spans="1:9" s="73" customFormat="1" ht="16.5">
      <c r="A181" s="71"/>
      <c r="B181" s="72"/>
      <c r="C181" s="73" t="str">
        <f t="shared" si="6"/>
        <v/>
      </c>
      <c r="D181" s="71"/>
      <c r="E181" s="72"/>
      <c r="F181" s="73" t="str">
        <f t="shared" si="7"/>
        <v/>
      </c>
      <c r="G181" s="71"/>
      <c r="H181" s="72"/>
      <c r="I181" s="73" t="str">
        <f t="shared" si="8"/>
        <v/>
      </c>
    </row>
    <row r="182" spans="1:9" s="73" customFormat="1" ht="16.5">
      <c r="A182" s="71"/>
      <c r="B182" s="72"/>
      <c r="C182" s="73" t="str">
        <f t="shared" si="6"/>
        <v/>
      </c>
      <c r="D182" s="71"/>
      <c r="E182" s="72"/>
      <c r="F182" s="73" t="str">
        <f t="shared" si="7"/>
        <v/>
      </c>
      <c r="G182" s="71"/>
      <c r="H182" s="72"/>
      <c r="I182" s="73" t="str">
        <f t="shared" si="8"/>
        <v/>
      </c>
    </row>
    <row r="183" spans="1:9" s="73" customFormat="1" ht="16.5">
      <c r="A183" s="71"/>
      <c r="B183" s="72"/>
      <c r="C183" s="73" t="str">
        <f t="shared" si="6"/>
        <v/>
      </c>
      <c r="D183" s="71"/>
      <c r="E183" s="72"/>
      <c r="F183" s="73" t="str">
        <f t="shared" si="7"/>
        <v/>
      </c>
      <c r="G183" s="71"/>
      <c r="H183" s="72"/>
      <c r="I183" s="73" t="str">
        <f t="shared" si="8"/>
        <v/>
      </c>
    </row>
    <row r="184" spans="1:9" s="73" customFormat="1" ht="16.5">
      <c r="A184" s="71"/>
      <c r="B184" s="72"/>
      <c r="C184" s="73" t="str">
        <f t="shared" si="6"/>
        <v/>
      </c>
      <c r="D184" s="71"/>
      <c r="E184" s="72"/>
      <c r="F184" s="73" t="str">
        <f t="shared" si="7"/>
        <v/>
      </c>
      <c r="G184" s="71"/>
      <c r="H184" s="72"/>
      <c r="I184" s="73" t="str">
        <f t="shared" si="8"/>
        <v/>
      </c>
    </row>
    <row r="185" spans="1:9" s="73" customFormat="1" ht="16.5">
      <c r="A185" s="71"/>
      <c r="B185" s="72"/>
      <c r="C185" s="73" t="str">
        <f t="shared" si="6"/>
        <v/>
      </c>
      <c r="D185" s="71"/>
      <c r="E185" s="72"/>
      <c r="F185" s="73" t="str">
        <f t="shared" si="7"/>
        <v/>
      </c>
      <c r="G185" s="71"/>
      <c r="H185" s="72"/>
      <c r="I185" s="73" t="str">
        <f t="shared" si="8"/>
        <v/>
      </c>
    </row>
    <row r="186" spans="1:9" s="73" customFormat="1" ht="16.5">
      <c r="A186" s="71"/>
      <c r="B186" s="72"/>
      <c r="C186" s="73" t="str">
        <f t="shared" si="6"/>
        <v/>
      </c>
      <c r="D186" s="71"/>
      <c r="E186" s="72"/>
      <c r="F186" s="73" t="str">
        <f t="shared" si="7"/>
        <v/>
      </c>
      <c r="G186" s="71"/>
      <c r="H186" s="72"/>
      <c r="I186" s="73" t="str">
        <f t="shared" si="8"/>
        <v/>
      </c>
    </row>
    <row r="187" spans="1:9" s="73" customFormat="1" ht="16.5">
      <c r="A187" s="71"/>
      <c r="B187" s="72"/>
      <c r="C187" s="73" t="str">
        <f t="shared" si="6"/>
        <v/>
      </c>
      <c r="D187" s="71"/>
      <c r="E187" s="72"/>
      <c r="F187" s="73" t="str">
        <f t="shared" si="7"/>
        <v/>
      </c>
      <c r="G187" s="71"/>
      <c r="H187" s="72"/>
      <c r="I187" s="73" t="str">
        <f t="shared" si="8"/>
        <v/>
      </c>
    </row>
    <row r="188" spans="1:9" s="73" customFormat="1" ht="16.5">
      <c r="A188" s="71"/>
      <c r="B188" s="72"/>
      <c r="C188" s="73" t="str">
        <f t="shared" si="6"/>
        <v/>
      </c>
      <c r="D188" s="71"/>
      <c r="E188" s="72"/>
      <c r="F188" s="73" t="str">
        <f t="shared" si="7"/>
        <v/>
      </c>
      <c r="G188" s="71"/>
      <c r="H188" s="72"/>
      <c r="I188" s="73" t="str">
        <f t="shared" si="8"/>
        <v/>
      </c>
    </row>
    <row r="189" spans="1:9" s="73" customFormat="1" ht="16.5">
      <c r="A189" s="71"/>
      <c r="B189" s="72"/>
      <c r="C189" s="73" t="str">
        <f t="shared" si="6"/>
        <v/>
      </c>
      <c r="D189" s="71"/>
      <c r="E189" s="72"/>
      <c r="F189" s="73" t="str">
        <f t="shared" si="7"/>
        <v/>
      </c>
      <c r="G189" s="71"/>
      <c r="H189" s="72"/>
      <c r="I189" s="73" t="str">
        <f t="shared" si="8"/>
        <v/>
      </c>
    </row>
    <row r="190" spans="1:9" s="73" customFormat="1" ht="16.5">
      <c r="A190" s="71"/>
      <c r="B190" s="72"/>
      <c r="C190" s="73" t="str">
        <f t="shared" si="6"/>
        <v/>
      </c>
      <c r="D190" s="71"/>
      <c r="E190" s="72"/>
      <c r="F190" s="73" t="str">
        <f t="shared" si="7"/>
        <v/>
      </c>
      <c r="G190" s="71"/>
      <c r="H190" s="72"/>
      <c r="I190" s="73" t="str">
        <f t="shared" si="8"/>
        <v/>
      </c>
    </row>
    <row r="191" spans="1:9" s="73" customFormat="1" ht="16.5">
      <c r="A191" s="71"/>
      <c r="B191" s="72"/>
      <c r="C191" s="73" t="str">
        <f t="shared" si="6"/>
        <v/>
      </c>
      <c r="D191" s="71"/>
      <c r="E191" s="72"/>
      <c r="F191" s="73" t="str">
        <f t="shared" si="7"/>
        <v/>
      </c>
      <c r="G191" s="71"/>
      <c r="H191" s="72"/>
      <c r="I191" s="73" t="str">
        <f t="shared" si="8"/>
        <v/>
      </c>
    </row>
    <row r="192" spans="1:9" s="73" customFormat="1" ht="16.5">
      <c r="A192" s="71"/>
      <c r="B192" s="72"/>
      <c r="C192" s="73" t="str">
        <f t="shared" si="6"/>
        <v/>
      </c>
      <c r="D192" s="71"/>
      <c r="E192" s="72"/>
      <c r="F192" s="73" t="str">
        <f t="shared" si="7"/>
        <v/>
      </c>
      <c r="G192" s="71"/>
      <c r="H192" s="72"/>
      <c r="I192" s="73" t="str">
        <f t="shared" si="8"/>
        <v/>
      </c>
    </row>
    <row r="193" spans="1:9" s="73" customFormat="1" ht="16.5">
      <c r="A193" s="71"/>
      <c r="B193" s="72"/>
      <c r="C193" s="73" t="str">
        <f t="shared" si="6"/>
        <v/>
      </c>
      <c r="D193" s="71"/>
      <c r="E193" s="72"/>
      <c r="F193" s="73" t="str">
        <f t="shared" si="7"/>
        <v/>
      </c>
      <c r="G193" s="71"/>
      <c r="H193" s="72"/>
      <c r="I193" s="73" t="str">
        <f t="shared" si="8"/>
        <v/>
      </c>
    </row>
    <row r="194" spans="1:9" s="73" customFormat="1" ht="16.5">
      <c r="A194" s="71"/>
      <c r="B194" s="72"/>
      <c r="C194" s="73" t="str">
        <f t="shared" si="6"/>
        <v/>
      </c>
      <c r="D194" s="71"/>
      <c r="E194" s="72"/>
      <c r="F194" s="73" t="str">
        <f t="shared" si="7"/>
        <v/>
      </c>
      <c r="G194" s="71"/>
      <c r="H194" s="72"/>
      <c r="I194" s="73" t="str">
        <f t="shared" si="8"/>
        <v/>
      </c>
    </row>
    <row r="195" spans="1:9" s="73" customFormat="1" ht="16.5">
      <c r="A195" s="71"/>
      <c r="B195" s="72"/>
      <c r="C195" s="73" t="str">
        <f t="shared" si="6"/>
        <v/>
      </c>
      <c r="D195" s="71"/>
      <c r="E195" s="72"/>
      <c r="F195" s="73" t="str">
        <f t="shared" si="7"/>
        <v/>
      </c>
      <c r="G195" s="71"/>
      <c r="H195" s="72"/>
      <c r="I195" s="73" t="str">
        <f t="shared" si="8"/>
        <v/>
      </c>
    </row>
    <row r="196" spans="1:9" s="73" customFormat="1" ht="16.5">
      <c r="A196" s="71"/>
      <c r="B196" s="72"/>
      <c r="C196" s="73" t="str">
        <f t="shared" si="6"/>
        <v/>
      </c>
      <c r="D196" s="71"/>
      <c r="E196" s="72"/>
      <c r="F196" s="73" t="str">
        <f t="shared" si="7"/>
        <v/>
      </c>
      <c r="G196" s="71"/>
      <c r="H196" s="72"/>
      <c r="I196" s="73" t="str">
        <f t="shared" si="8"/>
        <v/>
      </c>
    </row>
    <row r="197" spans="1:9" s="73" customFormat="1" ht="16.5">
      <c r="A197" s="71"/>
      <c r="B197" s="72"/>
      <c r="C197" s="73" t="str">
        <f t="shared" ref="C197:C260" si="9">IF(B197&gt;0,TEXT(B197,"(aaa)"),"")</f>
        <v/>
      </c>
      <c r="D197" s="71"/>
      <c r="E197" s="72"/>
      <c r="F197" s="73" t="str">
        <f t="shared" ref="F197:F260" si="10">IF(E197&gt;0,TEXT(E197,"(aaa)"),"")</f>
        <v/>
      </c>
      <c r="G197" s="71"/>
      <c r="H197" s="72"/>
      <c r="I197" s="73" t="str">
        <f t="shared" ref="I197:I260" si="11">IF(H197&gt;0,TEXT(H197,"(aaa)"),"")</f>
        <v/>
      </c>
    </row>
    <row r="198" spans="1:9" s="73" customFormat="1" ht="16.5">
      <c r="A198" s="71"/>
      <c r="B198" s="72"/>
      <c r="C198" s="73" t="str">
        <f t="shared" si="9"/>
        <v/>
      </c>
      <c r="D198" s="71"/>
      <c r="E198" s="72"/>
      <c r="F198" s="73" t="str">
        <f t="shared" si="10"/>
        <v/>
      </c>
      <c r="G198" s="71"/>
      <c r="H198" s="72"/>
      <c r="I198" s="73" t="str">
        <f t="shared" si="11"/>
        <v/>
      </c>
    </row>
    <row r="199" spans="1:9" s="73" customFormat="1" ht="16.5">
      <c r="A199" s="71"/>
      <c r="B199" s="72"/>
      <c r="C199" s="73" t="str">
        <f t="shared" si="9"/>
        <v/>
      </c>
      <c r="D199" s="71"/>
      <c r="E199" s="72"/>
      <c r="F199" s="73" t="str">
        <f t="shared" si="10"/>
        <v/>
      </c>
      <c r="G199" s="71"/>
      <c r="H199" s="72"/>
      <c r="I199" s="73" t="str">
        <f t="shared" si="11"/>
        <v/>
      </c>
    </row>
    <row r="200" spans="1:9" s="73" customFormat="1" ht="16.5">
      <c r="A200" s="71"/>
      <c r="B200" s="72"/>
      <c r="C200" s="73" t="str">
        <f t="shared" si="9"/>
        <v/>
      </c>
      <c r="D200" s="71"/>
      <c r="E200" s="72"/>
      <c r="F200" s="73" t="str">
        <f t="shared" si="10"/>
        <v/>
      </c>
      <c r="G200" s="71"/>
      <c r="H200" s="72"/>
      <c r="I200" s="73" t="str">
        <f t="shared" si="11"/>
        <v/>
      </c>
    </row>
    <row r="201" spans="1:9" s="73" customFormat="1" ht="16.5">
      <c r="A201" s="71"/>
      <c r="B201" s="72"/>
      <c r="C201" s="73" t="str">
        <f t="shared" si="9"/>
        <v/>
      </c>
      <c r="D201" s="71"/>
      <c r="E201" s="72"/>
      <c r="F201" s="73" t="str">
        <f t="shared" si="10"/>
        <v/>
      </c>
      <c r="G201" s="71"/>
      <c r="H201" s="72"/>
      <c r="I201" s="73" t="str">
        <f t="shared" si="11"/>
        <v/>
      </c>
    </row>
    <row r="202" spans="1:9" s="73" customFormat="1" ht="16.5">
      <c r="A202" s="71"/>
      <c r="B202" s="72"/>
      <c r="C202" s="73" t="str">
        <f t="shared" si="9"/>
        <v/>
      </c>
      <c r="D202" s="71"/>
      <c r="E202" s="72"/>
      <c r="F202" s="73" t="str">
        <f t="shared" si="10"/>
        <v/>
      </c>
      <c r="G202" s="71"/>
      <c r="H202" s="72"/>
      <c r="I202" s="73" t="str">
        <f t="shared" si="11"/>
        <v/>
      </c>
    </row>
    <row r="203" spans="1:9" s="73" customFormat="1" ht="16.5">
      <c r="A203" s="71"/>
      <c r="B203" s="72"/>
      <c r="C203" s="73" t="str">
        <f t="shared" si="9"/>
        <v/>
      </c>
      <c r="D203" s="71"/>
      <c r="E203" s="72"/>
      <c r="F203" s="73" t="str">
        <f t="shared" si="10"/>
        <v/>
      </c>
      <c r="G203" s="71"/>
      <c r="H203" s="72"/>
      <c r="I203" s="73" t="str">
        <f t="shared" si="11"/>
        <v/>
      </c>
    </row>
    <row r="204" spans="1:9" s="73" customFormat="1" ht="16.5">
      <c r="A204" s="71"/>
      <c r="B204" s="72"/>
      <c r="C204" s="73" t="str">
        <f t="shared" si="9"/>
        <v/>
      </c>
      <c r="D204" s="71"/>
      <c r="E204" s="72"/>
      <c r="F204" s="73" t="str">
        <f t="shared" si="10"/>
        <v/>
      </c>
      <c r="G204" s="71"/>
      <c r="H204" s="72"/>
      <c r="I204" s="73" t="str">
        <f t="shared" si="11"/>
        <v/>
      </c>
    </row>
    <row r="205" spans="1:9" s="73" customFormat="1" ht="16.5">
      <c r="A205" s="71"/>
      <c r="B205" s="72"/>
      <c r="C205" s="73" t="str">
        <f t="shared" si="9"/>
        <v/>
      </c>
      <c r="D205" s="71"/>
      <c r="E205" s="72"/>
      <c r="F205" s="73" t="str">
        <f t="shared" si="10"/>
        <v/>
      </c>
      <c r="G205" s="71"/>
      <c r="H205" s="72"/>
      <c r="I205" s="73" t="str">
        <f t="shared" si="11"/>
        <v/>
      </c>
    </row>
    <row r="206" spans="1:9" s="73" customFormat="1" ht="16.5">
      <c r="A206" s="71"/>
      <c r="B206" s="72"/>
      <c r="C206" s="73" t="str">
        <f t="shared" si="9"/>
        <v/>
      </c>
      <c r="D206" s="71"/>
      <c r="E206" s="72"/>
      <c r="F206" s="73" t="str">
        <f t="shared" si="10"/>
        <v/>
      </c>
      <c r="G206" s="71"/>
      <c r="H206" s="72"/>
      <c r="I206" s="73" t="str">
        <f t="shared" si="11"/>
        <v/>
      </c>
    </row>
    <row r="207" spans="1:9" s="73" customFormat="1" ht="16.5">
      <c r="A207" s="71"/>
      <c r="B207" s="72"/>
      <c r="C207" s="73" t="str">
        <f t="shared" si="9"/>
        <v/>
      </c>
      <c r="D207" s="71"/>
      <c r="E207" s="72"/>
      <c r="F207" s="73" t="str">
        <f t="shared" si="10"/>
        <v/>
      </c>
      <c r="G207" s="71"/>
      <c r="H207" s="72"/>
      <c r="I207" s="73" t="str">
        <f t="shared" si="11"/>
        <v/>
      </c>
    </row>
    <row r="208" spans="1:9" s="73" customFormat="1" ht="16.5">
      <c r="A208" s="71"/>
      <c r="B208" s="72"/>
      <c r="C208" s="73" t="str">
        <f t="shared" si="9"/>
        <v/>
      </c>
      <c r="D208" s="71"/>
      <c r="E208" s="72"/>
      <c r="F208" s="73" t="str">
        <f t="shared" si="10"/>
        <v/>
      </c>
      <c r="G208" s="71"/>
      <c r="H208" s="72"/>
      <c r="I208" s="73" t="str">
        <f t="shared" si="11"/>
        <v/>
      </c>
    </row>
    <row r="209" spans="1:9" s="73" customFormat="1" ht="16.5">
      <c r="A209" s="71"/>
      <c r="B209" s="72"/>
      <c r="C209" s="73" t="str">
        <f t="shared" si="9"/>
        <v/>
      </c>
      <c r="D209" s="71"/>
      <c r="E209" s="72"/>
      <c r="F209" s="73" t="str">
        <f t="shared" si="10"/>
        <v/>
      </c>
      <c r="G209" s="71"/>
      <c r="H209" s="72"/>
      <c r="I209" s="73" t="str">
        <f t="shared" si="11"/>
        <v/>
      </c>
    </row>
    <row r="210" spans="1:9" s="73" customFormat="1" ht="16.5">
      <c r="A210" s="71"/>
      <c r="B210" s="72"/>
      <c r="C210" s="73" t="str">
        <f t="shared" si="9"/>
        <v/>
      </c>
      <c r="D210" s="71"/>
      <c r="E210" s="72"/>
      <c r="F210" s="73" t="str">
        <f t="shared" si="10"/>
        <v/>
      </c>
      <c r="G210" s="71"/>
      <c r="H210" s="72"/>
      <c r="I210" s="73" t="str">
        <f t="shared" si="11"/>
        <v/>
      </c>
    </row>
    <row r="211" spans="1:9" s="73" customFormat="1" ht="16.5">
      <c r="A211" s="71"/>
      <c r="B211" s="72"/>
      <c r="C211" s="73" t="str">
        <f t="shared" si="9"/>
        <v/>
      </c>
      <c r="D211" s="71"/>
      <c r="E211" s="72"/>
      <c r="F211" s="73" t="str">
        <f t="shared" si="10"/>
        <v/>
      </c>
      <c r="G211" s="71"/>
      <c r="H211" s="72"/>
      <c r="I211" s="73" t="str">
        <f t="shared" si="11"/>
        <v/>
      </c>
    </row>
    <row r="212" spans="1:9" s="73" customFormat="1" ht="16.5">
      <c r="A212" s="71"/>
      <c r="B212" s="72"/>
      <c r="C212" s="73" t="str">
        <f t="shared" si="9"/>
        <v/>
      </c>
      <c r="D212" s="71"/>
      <c r="E212" s="72"/>
      <c r="F212" s="73" t="str">
        <f t="shared" si="10"/>
        <v/>
      </c>
      <c r="G212" s="71"/>
      <c r="H212" s="72"/>
      <c r="I212" s="73" t="str">
        <f t="shared" si="11"/>
        <v/>
      </c>
    </row>
    <row r="213" spans="1:9" s="73" customFormat="1" ht="16.5">
      <c r="A213" s="71"/>
      <c r="B213" s="72"/>
      <c r="C213" s="73" t="str">
        <f t="shared" si="9"/>
        <v/>
      </c>
      <c r="D213" s="71"/>
      <c r="E213" s="72"/>
      <c r="F213" s="73" t="str">
        <f t="shared" si="10"/>
        <v/>
      </c>
      <c r="G213" s="71"/>
      <c r="H213" s="72"/>
      <c r="I213" s="73" t="str">
        <f t="shared" si="11"/>
        <v/>
      </c>
    </row>
    <row r="214" spans="1:9" s="73" customFormat="1" ht="16.5">
      <c r="A214" s="71"/>
      <c r="B214" s="72"/>
      <c r="C214" s="73" t="str">
        <f t="shared" si="9"/>
        <v/>
      </c>
      <c r="D214" s="71"/>
      <c r="E214" s="72"/>
      <c r="F214" s="73" t="str">
        <f t="shared" si="10"/>
        <v/>
      </c>
      <c r="G214" s="71"/>
      <c r="H214" s="72"/>
      <c r="I214" s="73" t="str">
        <f t="shared" si="11"/>
        <v/>
      </c>
    </row>
    <row r="215" spans="1:9" s="73" customFormat="1" ht="16.5">
      <c r="A215" s="71"/>
      <c r="B215" s="72"/>
      <c r="C215" s="73" t="str">
        <f t="shared" si="9"/>
        <v/>
      </c>
      <c r="D215" s="71"/>
      <c r="E215" s="72"/>
      <c r="F215" s="73" t="str">
        <f t="shared" si="10"/>
        <v/>
      </c>
      <c r="G215" s="71"/>
      <c r="H215" s="72"/>
      <c r="I215" s="73" t="str">
        <f t="shared" si="11"/>
        <v/>
      </c>
    </row>
    <row r="216" spans="1:9" s="73" customFormat="1" ht="16.5">
      <c r="A216" s="71"/>
      <c r="B216" s="72"/>
      <c r="C216" s="73" t="str">
        <f t="shared" si="9"/>
        <v/>
      </c>
      <c r="D216" s="71"/>
      <c r="E216" s="72"/>
      <c r="F216" s="73" t="str">
        <f t="shared" si="10"/>
        <v/>
      </c>
      <c r="G216" s="71"/>
      <c r="H216" s="72"/>
      <c r="I216" s="73" t="str">
        <f t="shared" si="11"/>
        <v/>
      </c>
    </row>
    <row r="217" spans="1:9" s="73" customFormat="1" ht="16.5">
      <c r="A217" s="71"/>
      <c r="B217" s="72"/>
      <c r="C217" s="73" t="str">
        <f t="shared" si="9"/>
        <v/>
      </c>
      <c r="D217" s="71"/>
      <c r="E217" s="72"/>
      <c r="F217" s="73" t="str">
        <f t="shared" si="10"/>
        <v/>
      </c>
      <c r="G217" s="71"/>
      <c r="H217" s="72"/>
      <c r="I217" s="73" t="str">
        <f t="shared" si="11"/>
        <v/>
      </c>
    </row>
    <row r="218" spans="1:9" s="73" customFormat="1" ht="16.5">
      <c r="A218" s="71"/>
      <c r="B218" s="72"/>
      <c r="C218" s="73" t="str">
        <f t="shared" si="9"/>
        <v/>
      </c>
      <c r="D218" s="71"/>
      <c r="E218" s="72"/>
      <c r="F218" s="73" t="str">
        <f t="shared" si="10"/>
        <v/>
      </c>
      <c r="G218" s="71"/>
      <c r="H218" s="72"/>
      <c r="I218" s="73" t="str">
        <f t="shared" si="11"/>
        <v/>
      </c>
    </row>
    <row r="219" spans="1:9" s="73" customFormat="1" ht="16.5">
      <c r="A219" s="71"/>
      <c r="B219" s="72"/>
      <c r="C219" s="73" t="str">
        <f t="shared" si="9"/>
        <v/>
      </c>
      <c r="D219" s="71"/>
      <c r="E219" s="72"/>
      <c r="F219" s="73" t="str">
        <f t="shared" si="10"/>
        <v/>
      </c>
      <c r="G219" s="71"/>
      <c r="H219" s="72"/>
      <c r="I219" s="73" t="str">
        <f t="shared" si="11"/>
        <v/>
      </c>
    </row>
    <row r="220" spans="1:9" s="73" customFormat="1" ht="16.5">
      <c r="A220" s="71"/>
      <c r="B220" s="72"/>
      <c r="C220" s="73" t="str">
        <f t="shared" si="9"/>
        <v/>
      </c>
      <c r="D220" s="71"/>
      <c r="E220" s="72"/>
      <c r="F220" s="73" t="str">
        <f t="shared" si="10"/>
        <v/>
      </c>
      <c r="G220" s="71"/>
      <c r="H220" s="72"/>
      <c r="I220" s="73" t="str">
        <f t="shared" si="11"/>
        <v/>
      </c>
    </row>
    <row r="221" spans="1:9" s="73" customFormat="1" ht="16.5">
      <c r="A221" s="71"/>
      <c r="B221" s="72"/>
      <c r="C221" s="73" t="str">
        <f t="shared" si="9"/>
        <v/>
      </c>
      <c r="D221" s="71"/>
      <c r="E221" s="72"/>
      <c r="F221" s="73" t="str">
        <f t="shared" si="10"/>
        <v/>
      </c>
      <c r="G221" s="71"/>
      <c r="H221" s="72"/>
      <c r="I221" s="73" t="str">
        <f t="shared" si="11"/>
        <v/>
      </c>
    </row>
    <row r="222" spans="1:9" s="73" customFormat="1" ht="16.5">
      <c r="A222" s="71"/>
      <c r="B222" s="72"/>
      <c r="C222" s="73" t="str">
        <f t="shared" si="9"/>
        <v/>
      </c>
      <c r="D222" s="71"/>
      <c r="E222" s="72"/>
      <c r="F222" s="73" t="str">
        <f t="shared" si="10"/>
        <v/>
      </c>
      <c r="G222" s="71"/>
      <c r="H222" s="72"/>
      <c r="I222" s="73" t="str">
        <f t="shared" si="11"/>
        <v/>
      </c>
    </row>
    <row r="223" spans="1:9" s="73" customFormat="1" ht="16.5">
      <c r="A223" s="71"/>
      <c r="B223" s="72"/>
      <c r="C223" s="73" t="str">
        <f t="shared" si="9"/>
        <v/>
      </c>
      <c r="D223" s="71"/>
      <c r="E223" s="72"/>
      <c r="F223" s="73" t="str">
        <f t="shared" si="10"/>
        <v/>
      </c>
      <c r="G223" s="71"/>
      <c r="H223" s="72"/>
      <c r="I223" s="73" t="str">
        <f t="shared" si="11"/>
        <v/>
      </c>
    </row>
    <row r="224" spans="1:9" s="73" customFormat="1" ht="16.5">
      <c r="A224" s="71"/>
      <c r="B224" s="72"/>
      <c r="C224" s="73" t="str">
        <f t="shared" si="9"/>
        <v/>
      </c>
      <c r="D224" s="71"/>
      <c r="E224" s="72"/>
      <c r="F224" s="73" t="str">
        <f t="shared" si="10"/>
        <v/>
      </c>
      <c r="G224" s="71"/>
      <c r="H224" s="72"/>
      <c r="I224" s="73" t="str">
        <f t="shared" si="11"/>
        <v/>
      </c>
    </row>
    <row r="225" spans="1:9" s="73" customFormat="1" ht="16.5">
      <c r="A225" s="71"/>
      <c r="B225" s="72"/>
      <c r="C225" s="73" t="str">
        <f t="shared" si="9"/>
        <v/>
      </c>
      <c r="D225" s="71"/>
      <c r="E225" s="72"/>
      <c r="F225" s="73" t="str">
        <f t="shared" si="10"/>
        <v/>
      </c>
      <c r="G225" s="71"/>
      <c r="H225" s="72"/>
      <c r="I225" s="73" t="str">
        <f t="shared" si="11"/>
        <v/>
      </c>
    </row>
    <row r="226" spans="1:9" s="73" customFormat="1" ht="16.5">
      <c r="A226" s="71"/>
      <c r="B226" s="72"/>
      <c r="C226" s="73" t="str">
        <f t="shared" si="9"/>
        <v/>
      </c>
      <c r="D226" s="71"/>
      <c r="E226" s="72"/>
      <c r="F226" s="73" t="str">
        <f t="shared" si="10"/>
        <v/>
      </c>
      <c r="G226" s="71"/>
      <c r="H226" s="72"/>
      <c r="I226" s="73" t="str">
        <f t="shared" si="11"/>
        <v/>
      </c>
    </row>
    <row r="227" spans="1:9" s="73" customFormat="1" ht="16.5">
      <c r="A227" s="71"/>
      <c r="B227" s="72"/>
      <c r="C227" s="73" t="str">
        <f t="shared" si="9"/>
        <v/>
      </c>
      <c r="D227" s="71"/>
      <c r="E227" s="72"/>
      <c r="F227" s="73" t="str">
        <f t="shared" si="10"/>
        <v/>
      </c>
      <c r="G227" s="71"/>
      <c r="H227" s="72"/>
      <c r="I227" s="73" t="str">
        <f t="shared" si="11"/>
        <v/>
      </c>
    </row>
    <row r="228" spans="1:9" s="73" customFormat="1" ht="16.5">
      <c r="A228" s="71"/>
      <c r="B228" s="72"/>
      <c r="C228" s="73" t="str">
        <f t="shared" si="9"/>
        <v/>
      </c>
      <c r="D228" s="71"/>
      <c r="E228" s="72"/>
      <c r="F228" s="73" t="str">
        <f t="shared" si="10"/>
        <v/>
      </c>
      <c r="G228" s="71"/>
      <c r="H228" s="72"/>
      <c r="I228" s="73" t="str">
        <f t="shared" si="11"/>
        <v/>
      </c>
    </row>
    <row r="229" spans="1:9" s="73" customFormat="1" ht="16.5">
      <c r="A229" s="71"/>
      <c r="B229" s="72"/>
      <c r="C229" s="73" t="str">
        <f t="shared" si="9"/>
        <v/>
      </c>
      <c r="D229" s="71"/>
      <c r="E229" s="72"/>
      <c r="F229" s="73" t="str">
        <f t="shared" si="10"/>
        <v/>
      </c>
      <c r="G229" s="71"/>
      <c r="H229" s="72"/>
      <c r="I229" s="73" t="str">
        <f t="shared" si="11"/>
        <v/>
      </c>
    </row>
    <row r="230" spans="1:9" s="73" customFormat="1" ht="16.5">
      <c r="A230" s="71"/>
      <c r="B230" s="72"/>
      <c r="C230" s="73" t="str">
        <f t="shared" si="9"/>
        <v/>
      </c>
      <c r="D230" s="71"/>
      <c r="E230" s="72"/>
      <c r="F230" s="73" t="str">
        <f t="shared" si="10"/>
        <v/>
      </c>
      <c r="G230" s="71"/>
      <c r="H230" s="72"/>
      <c r="I230" s="73" t="str">
        <f t="shared" si="11"/>
        <v/>
      </c>
    </row>
    <row r="231" spans="1:9" s="73" customFormat="1" ht="16.5">
      <c r="A231" s="71"/>
      <c r="B231" s="72"/>
      <c r="C231" s="73" t="str">
        <f t="shared" si="9"/>
        <v/>
      </c>
      <c r="D231" s="71"/>
      <c r="E231" s="72"/>
      <c r="F231" s="73" t="str">
        <f t="shared" si="10"/>
        <v/>
      </c>
      <c r="G231" s="71"/>
      <c r="H231" s="72"/>
      <c r="I231" s="73" t="str">
        <f t="shared" si="11"/>
        <v/>
      </c>
    </row>
    <row r="232" spans="1:9" s="73" customFormat="1" ht="16.5">
      <c r="A232" s="71"/>
      <c r="B232" s="72"/>
      <c r="C232" s="73" t="str">
        <f t="shared" si="9"/>
        <v/>
      </c>
      <c r="D232" s="71"/>
      <c r="E232" s="72"/>
      <c r="F232" s="73" t="str">
        <f t="shared" si="10"/>
        <v/>
      </c>
      <c r="G232" s="71"/>
      <c r="H232" s="72"/>
      <c r="I232" s="73" t="str">
        <f t="shared" si="11"/>
        <v/>
      </c>
    </row>
    <row r="233" spans="1:9" s="73" customFormat="1" ht="16.5">
      <c r="A233" s="71"/>
      <c r="B233" s="72"/>
      <c r="C233" s="73" t="str">
        <f t="shared" si="9"/>
        <v/>
      </c>
      <c r="D233" s="71"/>
      <c r="E233" s="72"/>
      <c r="F233" s="73" t="str">
        <f t="shared" si="10"/>
        <v/>
      </c>
      <c r="G233" s="71"/>
      <c r="H233" s="72"/>
      <c r="I233" s="73" t="str">
        <f t="shared" si="11"/>
        <v/>
      </c>
    </row>
    <row r="234" spans="1:9" s="73" customFormat="1" ht="16.5">
      <c r="A234" s="71"/>
      <c r="B234" s="72"/>
      <c r="C234" s="73" t="str">
        <f t="shared" si="9"/>
        <v/>
      </c>
      <c r="D234" s="71"/>
      <c r="E234" s="72"/>
      <c r="F234" s="73" t="str">
        <f t="shared" si="10"/>
        <v/>
      </c>
      <c r="G234" s="71"/>
      <c r="H234" s="72"/>
      <c r="I234" s="73" t="str">
        <f t="shared" si="11"/>
        <v/>
      </c>
    </row>
    <row r="235" spans="1:9" s="73" customFormat="1" ht="16.5">
      <c r="A235" s="71"/>
      <c r="B235" s="72"/>
      <c r="C235" s="73" t="str">
        <f t="shared" si="9"/>
        <v/>
      </c>
      <c r="D235" s="71"/>
      <c r="E235" s="72"/>
      <c r="F235" s="73" t="str">
        <f t="shared" si="10"/>
        <v/>
      </c>
      <c r="G235" s="71"/>
      <c r="H235" s="72"/>
      <c r="I235" s="73" t="str">
        <f t="shared" si="11"/>
        <v/>
      </c>
    </row>
    <row r="236" spans="1:9" s="73" customFormat="1" ht="16.5">
      <c r="A236" s="71"/>
      <c r="B236" s="72"/>
      <c r="C236" s="73" t="str">
        <f t="shared" si="9"/>
        <v/>
      </c>
      <c r="D236" s="71"/>
      <c r="E236" s="72"/>
      <c r="F236" s="73" t="str">
        <f t="shared" si="10"/>
        <v/>
      </c>
      <c r="G236" s="71"/>
      <c r="H236" s="72"/>
      <c r="I236" s="73" t="str">
        <f t="shared" si="11"/>
        <v/>
      </c>
    </row>
    <row r="237" spans="1:9" s="73" customFormat="1" ht="16.5">
      <c r="A237" s="71"/>
      <c r="B237" s="72"/>
      <c r="C237" s="73" t="str">
        <f t="shared" si="9"/>
        <v/>
      </c>
      <c r="D237" s="71"/>
      <c r="E237" s="72"/>
      <c r="F237" s="73" t="str">
        <f t="shared" si="10"/>
        <v/>
      </c>
      <c r="G237" s="71"/>
      <c r="H237" s="72"/>
      <c r="I237" s="73" t="str">
        <f t="shared" si="11"/>
        <v/>
      </c>
    </row>
    <row r="238" spans="1:9" s="73" customFormat="1" ht="16.5">
      <c r="A238" s="71"/>
      <c r="B238" s="72"/>
      <c r="C238" s="73" t="str">
        <f t="shared" si="9"/>
        <v/>
      </c>
      <c r="D238" s="71"/>
      <c r="E238" s="72"/>
      <c r="F238" s="73" t="str">
        <f t="shared" si="10"/>
        <v/>
      </c>
      <c r="G238" s="71"/>
      <c r="H238" s="72"/>
      <c r="I238" s="73" t="str">
        <f t="shared" si="11"/>
        <v/>
      </c>
    </row>
    <row r="239" spans="1:9" s="73" customFormat="1" ht="16.5">
      <c r="A239" s="71"/>
      <c r="B239" s="72"/>
      <c r="C239" s="73" t="str">
        <f t="shared" si="9"/>
        <v/>
      </c>
      <c r="D239" s="71"/>
      <c r="E239" s="72"/>
      <c r="F239" s="73" t="str">
        <f t="shared" si="10"/>
        <v/>
      </c>
      <c r="G239" s="71"/>
      <c r="H239" s="72"/>
      <c r="I239" s="73" t="str">
        <f t="shared" si="11"/>
        <v/>
      </c>
    </row>
    <row r="240" spans="1:9" s="73" customFormat="1" ht="16.5">
      <c r="A240" s="71"/>
      <c r="B240" s="72"/>
      <c r="C240" s="73" t="str">
        <f t="shared" si="9"/>
        <v/>
      </c>
      <c r="D240" s="71"/>
      <c r="E240" s="72"/>
      <c r="F240" s="73" t="str">
        <f t="shared" si="10"/>
        <v/>
      </c>
      <c r="G240" s="71"/>
      <c r="H240" s="72"/>
      <c r="I240" s="73" t="str">
        <f t="shared" si="11"/>
        <v/>
      </c>
    </row>
    <row r="241" spans="1:9" s="73" customFormat="1" ht="16.5">
      <c r="A241" s="71"/>
      <c r="B241" s="72"/>
      <c r="C241" s="73" t="str">
        <f t="shared" si="9"/>
        <v/>
      </c>
      <c r="D241" s="71"/>
      <c r="E241" s="72"/>
      <c r="F241" s="73" t="str">
        <f t="shared" si="10"/>
        <v/>
      </c>
      <c r="G241" s="71"/>
      <c r="H241" s="72"/>
      <c r="I241" s="73" t="str">
        <f t="shared" si="11"/>
        <v/>
      </c>
    </row>
    <row r="242" spans="1:9" s="73" customFormat="1" ht="16.5">
      <c r="A242" s="71"/>
      <c r="B242" s="72"/>
      <c r="C242" s="73" t="str">
        <f t="shared" si="9"/>
        <v/>
      </c>
      <c r="D242" s="71"/>
      <c r="E242" s="72"/>
      <c r="F242" s="73" t="str">
        <f t="shared" si="10"/>
        <v/>
      </c>
      <c r="G242" s="71"/>
      <c r="H242" s="72"/>
      <c r="I242" s="73" t="str">
        <f t="shared" si="11"/>
        <v/>
      </c>
    </row>
    <row r="243" spans="1:9" s="73" customFormat="1" ht="16.5">
      <c r="A243" s="71"/>
      <c r="B243" s="72"/>
      <c r="C243" s="73" t="str">
        <f t="shared" si="9"/>
        <v/>
      </c>
      <c r="D243" s="71"/>
      <c r="E243" s="72"/>
      <c r="F243" s="73" t="str">
        <f t="shared" si="10"/>
        <v/>
      </c>
      <c r="G243" s="71"/>
      <c r="H243" s="72"/>
      <c r="I243" s="73" t="str">
        <f t="shared" si="11"/>
        <v/>
      </c>
    </row>
    <row r="244" spans="1:9" s="73" customFormat="1" ht="16.5">
      <c r="A244" s="71"/>
      <c r="B244" s="72"/>
      <c r="C244" s="73" t="str">
        <f t="shared" si="9"/>
        <v/>
      </c>
      <c r="D244" s="71"/>
      <c r="E244" s="72"/>
      <c r="F244" s="73" t="str">
        <f t="shared" si="10"/>
        <v/>
      </c>
      <c r="G244" s="71"/>
      <c r="H244" s="72"/>
      <c r="I244" s="73" t="str">
        <f t="shared" si="11"/>
        <v/>
      </c>
    </row>
    <row r="245" spans="1:9" s="73" customFormat="1" ht="16.5">
      <c r="A245" s="71"/>
      <c r="B245" s="72"/>
      <c r="C245" s="73" t="str">
        <f t="shared" si="9"/>
        <v/>
      </c>
      <c r="D245" s="71"/>
      <c r="E245" s="72"/>
      <c r="F245" s="73" t="str">
        <f t="shared" si="10"/>
        <v/>
      </c>
      <c r="G245" s="71"/>
      <c r="H245" s="72"/>
      <c r="I245" s="73" t="str">
        <f t="shared" si="11"/>
        <v/>
      </c>
    </row>
    <row r="246" spans="1:9" s="73" customFormat="1" ht="16.5">
      <c r="A246" s="71"/>
      <c r="B246" s="72"/>
      <c r="C246" s="73" t="str">
        <f t="shared" si="9"/>
        <v/>
      </c>
      <c r="D246" s="71"/>
      <c r="E246" s="72"/>
      <c r="F246" s="73" t="str">
        <f t="shared" si="10"/>
        <v/>
      </c>
      <c r="G246" s="71"/>
      <c r="H246" s="72"/>
      <c r="I246" s="73" t="str">
        <f t="shared" si="11"/>
        <v/>
      </c>
    </row>
    <row r="247" spans="1:9" s="73" customFormat="1" ht="16.5">
      <c r="A247" s="71"/>
      <c r="B247" s="72"/>
      <c r="C247" s="73" t="str">
        <f t="shared" si="9"/>
        <v/>
      </c>
      <c r="D247" s="71"/>
      <c r="E247" s="72"/>
      <c r="F247" s="73" t="str">
        <f t="shared" si="10"/>
        <v/>
      </c>
      <c r="G247" s="71"/>
      <c r="H247" s="72"/>
      <c r="I247" s="73" t="str">
        <f t="shared" si="11"/>
        <v/>
      </c>
    </row>
    <row r="248" spans="1:9" s="73" customFormat="1" ht="16.5">
      <c r="A248" s="71"/>
      <c r="B248" s="72"/>
      <c r="C248" s="73" t="str">
        <f t="shared" si="9"/>
        <v/>
      </c>
      <c r="D248" s="71"/>
      <c r="E248" s="72"/>
      <c r="F248" s="73" t="str">
        <f t="shared" si="10"/>
        <v/>
      </c>
      <c r="G248" s="71"/>
      <c r="H248" s="72"/>
      <c r="I248" s="73" t="str">
        <f t="shared" si="11"/>
        <v/>
      </c>
    </row>
    <row r="249" spans="1:9" s="73" customFormat="1" ht="16.5">
      <c r="A249" s="71"/>
      <c r="B249" s="72"/>
      <c r="C249" s="73" t="str">
        <f t="shared" si="9"/>
        <v/>
      </c>
      <c r="D249" s="71"/>
      <c r="E249" s="72"/>
      <c r="F249" s="73" t="str">
        <f t="shared" si="10"/>
        <v/>
      </c>
      <c r="G249" s="71"/>
      <c r="H249" s="72"/>
      <c r="I249" s="73" t="str">
        <f t="shared" si="11"/>
        <v/>
      </c>
    </row>
    <row r="250" spans="1:9" s="73" customFormat="1" ht="16.5">
      <c r="A250" s="71"/>
      <c r="B250" s="72"/>
      <c r="C250" s="73" t="str">
        <f t="shared" si="9"/>
        <v/>
      </c>
      <c r="D250" s="71"/>
      <c r="E250" s="72"/>
      <c r="F250" s="73" t="str">
        <f t="shared" si="10"/>
        <v/>
      </c>
      <c r="G250" s="71"/>
      <c r="H250" s="72"/>
      <c r="I250" s="73" t="str">
        <f t="shared" si="11"/>
        <v/>
      </c>
    </row>
    <row r="251" spans="1:9" s="73" customFormat="1" ht="16.5">
      <c r="A251" s="71"/>
      <c r="B251" s="72"/>
      <c r="C251" s="73" t="str">
        <f t="shared" si="9"/>
        <v/>
      </c>
      <c r="D251" s="71"/>
      <c r="E251" s="72"/>
      <c r="F251" s="73" t="str">
        <f t="shared" si="10"/>
        <v/>
      </c>
      <c r="G251" s="71"/>
      <c r="H251" s="72"/>
      <c r="I251" s="73" t="str">
        <f t="shared" si="11"/>
        <v/>
      </c>
    </row>
    <row r="252" spans="1:9" s="73" customFormat="1" ht="16.5">
      <c r="A252" s="71"/>
      <c r="B252" s="72"/>
      <c r="C252" s="73" t="str">
        <f t="shared" si="9"/>
        <v/>
      </c>
      <c r="D252" s="71"/>
      <c r="E252" s="72"/>
      <c r="F252" s="73" t="str">
        <f t="shared" si="10"/>
        <v/>
      </c>
      <c r="G252" s="71"/>
      <c r="H252" s="72"/>
      <c r="I252" s="73" t="str">
        <f t="shared" si="11"/>
        <v/>
      </c>
    </row>
    <row r="253" spans="1:9" s="73" customFormat="1" ht="16.5">
      <c r="A253" s="71"/>
      <c r="B253" s="72"/>
      <c r="C253" s="73" t="str">
        <f t="shared" si="9"/>
        <v/>
      </c>
      <c r="D253" s="71"/>
      <c r="E253" s="72"/>
      <c r="F253" s="73" t="str">
        <f t="shared" si="10"/>
        <v/>
      </c>
      <c r="G253" s="71"/>
      <c r="H253" s="72"/>
      <c r="I253" s="73" t="str">
        <f t="shared" si="11"/>
        <v/>
      </c>
    </row>
    <row r="254" spans="1:9" s="73" customFormat="1" ht="16.5">
      <c r="A254" s="71"/>
      <c r="B254" s="72"/>
      <c r="C254" s="73" t="str">
        <f t="shared" si="9"/>
        <v/>
      </c>
      <c r="D254" s="71"/>
      <c r="E254" s="72"/>
      <c r="F254" s="73" t="str">
        <f t="shared" si="10"/>
        <v/>
      </c>
      <c r="G254" s="71"/>
      <c r="H254" s="72"/>
      <c r="I254" s="73" t="str">
        <f t="shared" si="11"/>
        <v/>
      </c>
    </row>
    <row r="255" spans="1:9" s="73" customFormat="1" ht="16.5">
      <c r="A255" s="71"/>
      <c r="B255" s="72"/>
      <c r="C255" s="73" t="str">
        <f t="shared" si="9"/>
        <v/>
      </c>
      <c r="D255" s="71"/>
      <c r="E255" s="72"/>
      <c r="F255" s="73" t="str">
        <f t="shared" si="10"/>
        <v/>
      </c>
      <c r="G255" s="71"/>
      <c r="H255" s="72"/>
      <c r="I255" s="73" t="str">
        <f t="shared" si="11"/>
        <v/>
      </c>
    </row>
    <row r="256" spans="1:9" s="73" customFormat="1" ht="16.5">
      <c r="A256" s="71"/>
      <c r="B256" s="72"/>
      <c r="C256" s="73" t="str">
        <f t="shared" si="9"/>
        <v/>
      </c>
      <c r="D256" s="71"/>
      <c r="E256" s="72"/>
      <c r="F256" s="73" t="str">
        <f t="shared" si="10"/>
        <v/>
      </c>
      <c r="G256" s="71"/>
      <c r="H256" s="72"/>
      <c r="I256" s="73" t="str">
        <f t="shared" si="11"/>
        <v/>
      </c>
    </row>
    <row r="257" spans="1:9" s="73" customFormat="1" ht="16.5">
      <c r="A257" s="71"/>
      <c r="B257" s="72"/>
      <c r="C257" s="73" t="str">
        <f t="shared" si="9"/>
        <v/>
      </c>
      <c r="D257" s="71"/>
      <c r="E257" s="72"/>
      <c r="F257" s="73" t="str">
        <f t="shared" si="10"/>
        <v/>
      </c>
      <c r="G257" s="71"/>
      <c r="H257" s="72"/>
      <c r="I257" s="73" t="str">
        <f t="shared" si="11"/>
        <v/>
      </c>
    </row>
    <row r="258" spans="1:9" s="73" customFormat="1" ht="16.5">
      <c r="A258" s="71"/>
      <c r="B258" s="72"/>
      <c r="C258" s="73" t="str">
        <f t="shared" si="9"/>
        <v/>
      </c>
      <c r="D258" s="71"/>
      <c r="E258" s="72"/>
      <c r="F258" s="73" t="str">
        <f t="shared" si="10"/>
        <v/>
      </c>
      <c r="G258" s="71"/>
      <c r="H258" s="72"/>
      <c r="I258" s="73" t="str">
        <f t="shared" si="11"/>
        <v/>
      </c>
    </row>
    <row r="259" spans="1:9" s="73" customFormat="1" ht="16.5">
      <c r="A259" s="71"/>
      <c r="B259" s="72"/>
      <c r="C259" s="73" t="str">
        <f t="shared" si="9"/>
        <v/>
      </c>
      <c r="D259" s="71"/>
      <c r="E259" s="72"/>
      <c r="F259" s="73" t="str">
        <f t="shared" si="10"/>
        <v/>
      </c>
      <c r="G259" s="71"/>
      <c r="H259" s="72"/>
      <c r="I259" s="73" t="str">
        <f t="shared" si="11"/>
        <v/>
      </c>
    </row>
    <row r="260" spans="1:9" s="73" customFormat="1" ht="16.5">
      <c r="A260" s="71"/>
      <c r="B260" s="72"/>
      <c r="C260" s="73" t="str">
        <f t="shared" si="9"/>
        <v/>
      </c>
      <c r="D260" s="71"/>
      <c r="E260" s="72"/>
      <c r="F260" s="73" t="str">
        <f t="shared" si="10"/>
        <v/>
      </c>
      <c r="G260" s="71"/>
      <c r="H260" s="72"/>
      <c r="I260" s="73" t="str">
        <f t="shared" si="11"/>
        <v/>
      </c>
    </row>
    <row r="261" spans="1:9" s="73" customFormat="1" ht="16.5">
      <c r="A261" s="71"/>
      <c r="B261" s="72"/>
      <c r="C261" s="73" t="str">
        <f t="shared" ref="C261:C304" si="12">IF(B261&gt;0,TEXT(B261,"(aaa)"),"")</f>
        <v/>
      </c>
      <c r="D261" s="71"/>
      <c r="E261" s="72"/>
      <c r="F261" s="73" t="str">
        <f t="shared" ref="F261:F304" si="13">IF(E261&gt;0,TEXT(E261,"(aaa)"),"")</f>
        <v/>
      </c>
      <c r="G261" s="71"/>
      <c r="H261" s="72"/>
      <c r="I261" s="73" t="str">
        <f t="shared" ref="I261:I304" si="14">IF(H261&gt;0,TEXT(H261,"(aaa)"),"")</f>
        <v/>
      </c>
    </row>
    <row r="262" spans="1:9" s="73" customFormat="1" ht="16.5">
      <c r="A262" s="71"/>
      <c r="B262" s="72"/>
      <c r="C262" s="73" t="str">
        <f t="shared" si="12"/>
        <v/>
      </c>
      <c r="D262" s="71"/>
      <c r="E262" s="72"/>
      <c r="F262" s="73" t="str">
        <f t="shared" si="13"/>
        <v/>
      </c>
      <c r="G262" s="71"/>
      <c r="H262" s="72"/>
      <c r="I262" s="73" t="str">
        <f t="shared" si="14"/>
        <v/>
      </c>
    </row>
    <row r="263" spans="1:9" s="73" customFormat="1" ht="16.5">
      <c r="A263" s="71"/>
      <c r="B263" s="72"/>
      <c r="C263" s="73" t="str">
        <f t="shared" si="12"/>
        <v/>
      </c>
      <c r="D263" s="71"/>
      <c r="E263" s="72"/>
      <c r="F263" s="73" t="str">
        <f t="shared" si="13"/>
        <v/>
      </c>
      <c r="G263" s="71"/>
      <c r="H263" s="72"/>
      <c r="I263" s="73" t="str">
        <f t="shared" si="14"/>
        <v/>
      </c>
    </row>
    <row r="264" spans="1:9" s="73" customFormat="1" ht="16.5">
      <c r="A264" s="71"/>
      <c r="B264" s="72"/>
      <c r="C264" s="73" t="str">
        <f t="shared" si="12"/>
        <v/>
      </c>
      <c r="D264" s="71"/>
      <c r="E264" s="72"/>
      <c r="F264" s="73" t="str">
        <f t="shared" si="13"/>
        <v/>
      </c>
      <c r="G264" s="71"/>
      <c r="H264" s="72"/>
      <c r="I264" s="73" t="str">
        <f t="shared" si="14"/>
        <v/>
      </c>
    </row>
    <row r="265" spans="1:9" s="73" customFormat="1" ht="16.5">
      <c r="A265" s="71"/>
      <c r="B265" s="72"/>
      <c r="C265" s="73" t="str">
        <f t="shared" si="12"/>
        <v/>
      </c>
      <c r="D265" s="71"/>
      <c r="E265" s="72"/>
      <c r="F265" s="73" t="str">
        <f t="shared" si="13"/>
        <v/>
      </c>
      <c r="G265" s="71"/>
      <c r="H265" s="72"/>
      <c r="I265" s="73" t="str">
        <f t="shared" si="14"/>
        <v/>
      </c>
    </row>
    <row r="266" spans="1:9" s="73" customFormat="1" ht="16.5">
      <c r="A266" s="71"/>
      <c r="B266" s="72"/>
      <c r="C266" s="73" t="str">
        <f t="shared" si="12"/>
        <v/>
      </c>
      <c r="D266" s="71"/>
      <c r="E266" s="72"/>
      <c r="F266" s="73" t="str">
        <f t="shared" si="13"/>
        <v/>
      </c>
      <c r="G266" s="71"/>
      <c r="H266" s="72"/>
      <c r="I266" s="73" t="str">
        <f t="shared" si="14"/>
        <v/>
      </c>
    </row>
    <row r="267" spans="1:9" s="73" customFormat="1" ht="16.5">
      <c r="A267" s="71"/>
      <c r="B267" s="72"/>
      <c r="C267" s="73" t="str">
        <f t="shared" si="12"/>
        <v/>
      </c>
      <c r="D267" s="71"/>
      <c r="E267" s="72"/>
      <c r="F267" s="73" t="str">
        <f t="shared" si="13"/>
        <v/>
      </c>
      <c r="G267" s="71"/>
      <c r="H267" s="72"/>
      <c r="I267" s="73" t="str">
        <f t="shared" si="14"/>
        <v/>
      </c>
    </row>
    <row r="268" spans="1:9" s="73" customFormat="1" ht="16.5">
      <c r="A268" s="71"/>
      <c r="B268" s="72"/>
      <c r="C268" s="73" t="str">
        <f t="shared" si="12"/>
        <v/>
      </c>
      <c r="D268" s="71"/>
      <c r="E268" s="72"/>
      <c r="F268" s="73" t="str">
        <f t="shared" si="13"/>
        <v/>
      </c>
      <c r="G268" s="71"/>
      <c r="H268" s="72"/>
      <c r="I268" s="73" t="str">
        <f t="shared" si="14"/>
        <v/>
      </c>
    </row>
    <row r="269" spans="1:9" s="73" customFormat="1" ht="16.5">
      <c r="A269" s="71"/>
      <c r="B269" s="72"/>
      <c r="C269" s="73" t="str">
        <f t="shared" si="12"/>
        <v/>
      </c>
      <c r="D269" s="71"/>
      <c r="E269" s="72"/>
      <c r="F269" s="73" t="str">
        <f t="shared" si="13"/>
        <v/>
      </c>
      <c r="G269" s="71"/>
      <c r="H269" s="72"/>
      <c r="I269" s="73" t="str">
        <f t="shared" si="14"/>
        <v/>
      </c>
    </row>
    <row r="270" spans="1:9" s="73" customFormat="1" ht="16.5">
      <c r="A270" s="71"/>
      <c r="B270" s="72"/>
      <c r="C270" s="73" t="str">
        <f t="shared" si="12"/>
        <v/>
      </c>
      <c r="D270" s="71"/>
      <c r="E270" s="72"/>
      <c r="F270" s="73" t="str">
        <f t="shared" si="13"/>
        <v/>
      </c>
      <c r="G270" s="71"/>
      <c r="H270" s="72"/>
      <c r="I270" s="73" t="str">
        <f t="shared" si="14"/>
        <v/>
      </c>
    </row>
    <row r="271" spans="1:9" s="73" customFormat="1" ht="16.5">
      <c r="A271" s="71"/>
      <c r="B271" s="72"/>
      <c r="C271" s="73" t="str">
        <f t="shared" si="12"/>
        <v/>
      </c>
      <c r="D271" s="71"/>
      <c r="E271" s="72"/>
      <c r="F271" s="73" t="str">
        <f t="shared" si="13"/>
        <v/>
      </c>
      <c r="G271" s="71"/>
      <c r="H271" s="72"/>
      <c r="I271" s="73" t="str">
        <f t="shared" si="14"/>
        <v/>
      </c>
    </row>
    <row r="272" spans="1:9" s="73" customFormat="1" ht="16.5">
      <c r="A272" s="71"/>
      <c r="B272" s="72"/>
      <c r="C272" s="73" t="str">
        <f t="shared" si="12"/>
        <v/>
      </c>
      <c r="D272" s="71"/>
      <c r="E272" s="72"/>
      <c r="F272" s="73" t="str">
        <f t="shared" si="13"/>
        <v/>
      </c>
      <c r="G272" s="71"/>
      <c r="H272" s="72"/>
      <c r="I272" s="73" t="str">
        <f t="shared" si="14"/>
        <v/>
      </c>
    </row>
    <row r="273" spans="1:9" s="73" customFormat="1" ht="16.5">
      <c r="A273" s="71"/>
      <c r="B273" s="72"/>
      <c r="C273" s="73" t="str">
        <f t="shared" si="12"/>
        <v/>
      </c>
      <c r="D273" s="71"/>
      <c r="E273" s="72"/>
      <c r="F273" s="73" t="str">
        <f t="shared" si="13"/>
        <v/>
      </c>
      <c r="G273" s="71"/>
      <c r="H273" s="72"/>
      <c r="I273" s="73" t="str">
        <f t="shared" si="14"/>
        <v/>
      </c>
    </row>
    <row r="274" spans="1:9" s="73" customFormat="1" ht="16.5">
      <c r="A274" s="71"/>
      <c r="B274" s="72"/>
      <c r="C274" s="73" t="str">
        <f t="shared" si="12"/>
        <v/>
      </c>
      <c r="D274" s="71"/>
      <c r="E274" s="72"/>
      <c r="F274" s="73" t="str">
        <f t="shared" si="13"/>
        <v/>
      </c>
      <c r="G274" s="71"/>
      <c r="H274" s="72"/>
      <c r="I274" s="73" t="str">
        <f t="shared" si="14"/>
        <v/>
      </c>
    </row>
    <row r="275" spans="1:9" s="73" customFormat="1" ht="16.5">
      <c r="A275" s="71"/>
      <c r="B275" s="72"/>
      <c r="C275" s="73" t="str">
        <f t="shared" si="12"/>
        <v/>
      </c>
      <c r="D275" s="71"/>
      <c r="E275" s="72"/>
      <c r="F275" s="73" t="str">
        <f t="shared" si="13"/>
        <v/>
      </c>
      <c r="G275" s="71"/>
      <c r="H275" s="72"/>
      <c r="I275" s="73" t="str">
        <f t="shared" si="14"/>
        <v/>
      </c>
    </row>
    <row r="276" spans="1:9" s="73" customFormat="1" ht="16.5">
      <c r="A276" s="71"/>
      <c r="B276" s="72"/>
      <c r="C276" s="73" t="str">
        <f t="shared" si="12"/>
        <v/>
      </c>
      <c r="D276" s="71"/>
      <c r="E276" s="72"/>
      <c r="F276" s="73" t="str">
        <f t="shared" si="13"/>
        <v/>
      </c>
      <c r="G276" s="71"/>
      <c r="H276" s="72"/>
      <c r="I276" s="73" t="str">
        <f t="shared" si="14"/>
        <v/>
      </c>
    </row>
    <row r="277" spans="1:9" s="73" customFormat="1" ht="16.5">
      <c r="A277" s="71"/>
      <c r="B277" s="72"/>
      <c r="C277" s="73" t="str">
        <f t="shared" si="12"/>
        <v/>
      </c>
      <c r="D277" s="71"/>
      <c r="E277" s="72"/>
      <c r="F277" s="73" t="str">
        <f t="shared" si="13"/>
        <v/>
      </c>
      <c r="G277" s="71"/>
      <c r="H277" s="72"/>
      <c r="I277" s="73" t="str">
        <f t="shared" si="14"/>
        <v/>
      </c>
    </row>
    <row r="278" spans="1:9" s="73" customFormat="1" ht="16.5">
      <c r="A278" s="71"/>
      <c r="B278" s="72"/>
      <c r="C278" s="73" t="str">
        <f t="shared" si="12"/>
        <v/>
      </c>
      <c r="D278" s="71"/>
      <c r="E278" s="72"/>
      <c r="F278" s="73" t="str">
        <f t="shared" si="13"/>
        <v/>
      </c>
      <c r="G278" s="71"/>
      <c r="H278" s="72"/>
      <c r="I278" s="73" t="str">
        <f t="shared" si="14"/>
        <v/>
      </c>
    </row>
    <row r="279" spans="1:9" s="73" customFormat="1" ht="16.5">
      <c r="A279" s="71"/>
      <c r="B279" s="72"/>
      <c r="C279" s="73" t="str">
        <f t="shared" si="12"/>
        <v/>
      </c>
      <c r="D279" s="71"/>
      <c r="E279" s="72"/>
      <c r="F279" s="73" t="str">
        <f t="shared" si="13"/>
        <v/>
      </c>
      <c r="G279" s="71"/>
      <c r="H279" s="72"/>
      <c r="I279" s="73" t="str">
        <f t="shared" si="14"/>
        <v/>
      </c>
    </row>
    <row r="280" spans="1:9" s="73" customFormat="1" ht="16.5">
      <c r="A280" s="71"/>
      <c r="B280" s="72"/>
      <c r="C280" s="73" t="str">
        <f t="shared" si="12"/>
        <v/>
      </c>
      <c r="D280" s="71"/>
      <c r="E280" s="72"/>
      <c r="F280" s="73" t="str">
        <f t="shared" si="13"/>
        <v/>
      </c>
      <c r="G280" s="71"/>
      <c r="H280" s="72"/>
      <c r="I280" s="73" t="str">
        <f t="shared" si="14"/>
        <v/>
      </c>
    </row>
    <row r="281" spans="1:9" s="73" customFormat="1" ht="16.5">
      <c r="A281" s="71"/>
      <c r="B281" s="72"/>
      <c r="C281" s="73" t="str">
        <f t="shared" si="12"/>
        <v/>
      </c>
      <c r="D281" s="71"/>
      <c r="E281" s="72"/>
      <c r="F281" s="73" t="str">
        <f t="shared" si="13"/>
        <v/>
      </c>
      <c r="G281" s="71"/>
      <c r="H281" s="72"/>
      <c r="I281" s="73" t="str">
        <f t="shared" si="14"/>
        <v/>
      </c>
    </row>
    <row r="282" spans="1:9" s="73" customFormat="1" ht="16.5">
      <c r="A282" s="71"/>
      <c r="B282" s="72"/>
      <c r="C282" s="73" t="str">
        <f t="shared" si="12"/>
        <v/>
      </c>
      <c r="D282" s="71"/>
      <c r="E282" s="72"/>
      <c r="F282" s="73" t="str">
        <f t="shared" si="13"/>
        <v/>
      </c>
      <c r="G282" s="71"/>
      <c r="H282" s="72"/>
      <c r="I282" s="73" t="str">
        <f t="shared" si="14"/>
        <v/>
      </c>
    </row>
    <row r="283" spans="1:9" s="73" customFormat="1" ht="16.5">
      <c r="A283" s="71"/>
      <c r="B283" s="72"/>
      <c r="C283" s="73" t="str">
        <f t="shared" si="12"/>
        <v/>
      </c>
      <c r="D283" s="71"/>
      <c r="E283" s="72"/>
      <c r="F283" s="73" t="str">
        <f t="shared" si="13"/>
        <v/>
      </c>
      <c r="G283" s="71"/>
      <c r="H283" s="72"/>
      <c r="I283" s="73" t="str">
        <f t="shared" si="14"/>
        <v/>
      </c>
    </row>
    <row r="284" spans="1:9" s="73" customFormat="1" ht="16.5">
      <c r="A284" s="71"/>
      <c r="B284" s="72"/>
      <c r="C284" s="73" t="str">
        <f t="shared" si="12"/>
        <v/>
      </c>
      <c r="D284" s="71"/>
      <c r="E284" s="72"/>
      <c r="F284" s="73" t="str">
        <f t="shared" si="13"/>
        <v/>
      </c>
      <c r="G284" s="71"/>
      <c r="H284" s="72"/>
      <c r="I284" s="73" t="str">
        <f t="shared" si="14"/>
        <v/>
      </c>
    </row>
    <row r="285" spans="1:9" s="73" customFormat="1" ht="16.5">
      <c r="A285" s="71"/>
      <c r="B285" s="72"/>
      <c r="C285" s="73" t="str">
        <f t="shared" si="12"/>
        <v/>
      </c>
      <c r="D285" s="71"/>
      <c r="E285" s="72"/>
      <c r="F285" s="73" t="str">
        <f t="shared" si="13"/>
        <v/>
      </c>
      <c r="G285" s="71"/>
      <c r="H285" s="72"/>
      <c r="I285" s="73" t="str">
        <f t="shared" si="14"/>
        <v/>
      </c>
    </row>
    <row r="286" spans="1:9" s="73" customFormat="1" ht="16.5">
      <c r="A286" s="71"/>
      <c r="B286" s="72"/>
      <c r="C286" s="73" t="str">
        <f t="shared" si="12"/>
        <v/>
      </c>
      <c r="D286" s="71"/>
      <c r="E286" s="72"/>
      <c r="F286" s="73" t="str">
        <f t="shared" si="13"/>
        <v/>
      </c>
      <c r="G286" s="71"/>
      <c r="H286" s="72"/>
      <c r="I286" s="73" t="str">
        <f t="shared" si="14"/>
        <v/>
      </c>
    </row>
    <row r="287" spans="1:9" s="73" customFormat="1" ht="16.5">
      <c r="A287" s="71"/>
      <c r="B287" s="72"/>
      <c r="C287" s="73" t="str">
        <f t="shared" si="12"/>
        <v/>
      </c>
      <c r="D287" s="71"/>
      <c r="E287" s="72"/>
      <c r="F287" s="73" t="str">
        <f t="shared" si="13"/>
        <v/>
      </c>
      <c r="G287" s="71"/>
      <c r="H287" s="72"/>
      <c r="I287" s="73" t="str">
        <f t="shared" si="14"/>
        <v/>
      </c>
    </row>
    <row r="288" spans="1:9" s="73" customFormat="1" ht="16.5">
      <c r="A288" s="71"/>
      <c r="B288" s="72"/>
      <c r="C288" s="73" t="str">
        <f t="shared" si="12"/>
        <v/>
      </c>
      <c r="D288" s="71"/>
      <c r="E288" s="72"/>
      <c r="F288" s="73" t="str">
        <f t="shared" si="13"/>
        <v/>
      </c>
      <c r="G288" s="71"/>
      <c r="H288" s="72"/>
      <c r="I288" s="73" t="str">
        <f t="shared" si="14"/>
        <v/>
      </c>
    </row>
    <row r="289" spans="1:9" s="73" customFormat="1" ht="16.5">
      <c r="A289" s="71"/>
      <c r="B289" s="72"/>
      <c r="C289" s="73" t="str">
        <f t="shared" si="12"/>
        <v/>
      </c>
      <c r="D289" s="71"/>
      <c r="E289" s="72"/>
      <c r="F289" s="73" t="str">
        <f t="shared" si="13"/>
        <v/>
      </c>
      <c r="G289" s="71"/>
      <c r="H289" s="72"/>
      <c r="I289" s="73" t="str">
        <f t="shared" si="14"/>
        <v/>
      </c>
    </row>
    <row r="290" spans="1:9" s="73" customFormat="1" ht="16.5">
      <c r="A290" s="71"/>
      <c r="B290" s="72"/>
      <c r="C290" s="73" t="str">
        <f t="shared" si="12"/>
        <v/>
      </c>
      <c r="D290" s="71"/>
      <c r="E290" s="72"/>
      <c r="F290" s="73" t="str">
        <f t="shared" si="13"/>
        <v/>
      </c>
      <c r="G290" s="71"/>
      <c r="H290" s="72"/>
      <c r="I290" s="73" t="str">
        <f t="shared" si="14"/>
        <v/>
      </c>
    </row>
    <row r="291" spans="1:9" s="73" customFormat="1" ht="16.5">
      <c r="A291" s="71"/>
      <c r="B291" s="72"/>
      <c r="C291" s="73" t="str">
        <f t="shared" si="12"/>
        <v/>
      </c>
      <c r="D291" s="71"/>
      <c r="E291" s="72"/>
      <c r="F291" s="73" t="str">
        <f t="shared" si="13"/>
        <v/>
      </c>
      <c r="G291" s="71"/>
      <c r="H291" s="72"/>
      <c r="I291" s="73" t="str">
        <f t="shared" si="14"/>
        <v/>
      </c>
    </row>
    <row r="292" spans="1:9" s="73" customFormat="1" ht="16.5">
      <c r="A292" s="71"/>
      <c r="B292" s="72"/>
      <c r="C292" s="73" t="str">
        <f t="shared" si="12"/>
        <v/>
      </c>
      <c r="D292" s="71"/>
      <c r="E292" s="72"/>
      <c r="F292" s="73" t="str">
        <f t="shared" si="13"/>
        <v/>
      </c>
      <c r="G292" s="71"/>
      <c r="H292" s="72"/>
      <c r="I292" s="73" t="str">
        <f t="shared" si="14"/>
        <v/>
      </c>
    </row>
    <row r="293" spans="1:9" s="73" customFormat="1" ht="16.5">
      <c r="A293" s="71"/>
      <c r="B293" s="72"/>
      <c r="C293" s="73" t="str">
        <f t="shared" si="12"/>
        <v/>
      </c>
      <c r="D293" s="71"/>
      <c r="E293" s="72"/>
      <c r="F293" s="73" t="str">
        <f t="shared" si="13"/>
        <v/>
      </c>
      <c r="G293" s="71"/>
      <c r="H293" s="72"/>
      <c r="I293" s="73" t="str">
        <f t="shared" si="14"/>
        <v/>
      </c>
    </row>
    <row r="294" spans="1:9" s="73" customFormat="1" ht="16.5">
      <c r="A294" s="71"/>
      <c r="B294" s="72"/>
      <c r="C294" s="73" t="str">
        <f t="shared" si="12"/>
        <v/>
      </c>
      <c r="D294" s="71"/>
      <c r="E294" s="72"/>
      <c r="F294" s="73" t="str">
        <f t="shared" si="13"/>
        <v/>
      </c>
      <c r="G294" s="71"/>
      <c r="H294" s="72"/>
      <c r="I294" s="73" t="str">
        <f t="shared" si="14"/>
        <v/>
      </c>
    </row>
    <row r="295" spans="1:9" s="73" customFormat="1" ht="16.5">
      <c r="A295" s="71"/>
      <c r="B295" s="72"/>
      <c r="C295" s="73" t="str">
        <f t="shared" si="12"/>
        <v/>
      </c>
      <c r="D295" s="71"/>
      <c r="E295" s="72"/>
      <c r="F295" s="73" t="str">
        <f t="shared" si="13"/>
        <v/>
      </c>
      <c r="G295" s="71"/>
      <c r="H295" s="72"/>
      <c r="I295" s="73" t="str">
        <f t="shared" si="14"/>
        <v/>
      </c>
    </row>
    <row r="296" spans="1:9" s="73" customFormat="1" ht="16.5">
      <c r="A296" s="71"/>
      <c r="B296" s="72"/>
      <c r="C296" s="73" t="str">
        <f t="shared" si="12"/>
        <v/>
      </c>
      <c r="D296" s="71"/>
      <c r="E296" s="72"/>
      <c r="F296" s="73" t="str">
        <f t="shared" si="13"/>
        <v/>
      </c>
      <c r="G296" s="71"/>
      <c r="H296" s="72"/>
      <c r="I296" s="73" t="str">
        <f t="shared" si="14"/>
        <v/>
      </c>
    </row>
    <row r="297" spans="1:9" s="73" customFormat="1" ht="16.5">
      <c r="A297" s="71"/>
      <c r="B297" s="72"/>
      <c r="C297" s="73" t="str">
        <f t="shared" si="12"/>
        <v/>
      </c>
      <c r="D297" s="71"/>
      <c r="E297" s="72"/>
      <c r="F297" s="73" t="str">
        <f t="shared" si="13"/>
        <v/>
      </c>
      <c r="G297" s="71"/>
      <c r="H297" s="72"/>
      <c r="I297" s="73" t="str">
        <f t="shared" si="14"/>
        <v/>
      </c>
    </row>
    <row r="298" spans="1:9" s="73" customFormat="1" ht="16.5">
      <c r="A298" s="71"/>
      <c r="B298" s="72"/>
      <c r="C298" s="73" t="str">
        <f t="shared" si="12"/>
        <v/>
      </c>
      <c r="D298" s="71"/>
      <c r="E298" s="72"/>
      <c r="F298" s="73" t="str">
        <f t="shared" si="13"/>
        <v/>
      </c>
      <c r="G298" s="71"/>
      <c r="H298" s="72"/>
      <c r="I298" s="73" t="str">
        <f t="shared" si="14"/>
        <v/>
      </c>
    </row>
    <row r="299" spans="1:9" s="73" customFormat="1" ht="16.5">
      <c r="A299" s="71"/>
      <c r="B299" s="72"/>
      <c r="C299" s="73" t="str">
        <f t="shared" si="12"/>
        <v/>
      </c>
      <c r="D299" s="71"/>
      <c r="E299" s="72"/>
      <c r="F299" s="73" t="str">
        <f t="shared" si="13"/>
        <v/>
      </c>
      <c r="G299" s="71"/>
      <c r="H299" s="72"/>
      <c r="I299" s="73" t="str">
        <f t="shared" si="14"/>
        <v/>
      </c>
    </row>
    <row r="300" spans="1:9" s="73" customFormat="1" ht="16.5">
      <c r="A300" s="71"/>
      <c r="B300" s="72"/>
      <c r="C300" s="73" t="str">
        <f t="shared" si="12"/>
        <v/>
      </c>
      <c r="D300" s="71"/>
      <c r="E300" s="72"/>
      <c r="F300" s="73" t="str">
        <f t="shared" si="13"/>
        <v/>
      </c>
      <c r="G300" s="71"/>
      <c r="H300" s="72"/>
      <c r="I300" s="73" t="str">
        <f t="shared" si="14"/>
        <v/>
      </c>
    </row>
    <row r="301" spans="1:9" s="73" customFormat="1" ht="16.5">
      <c r="A301" s="71"/>
      <c r="B301" s="72"/>
      <c r="C301" s="73" t="str">
        <f t="shared" si="12"/>
        <v/>
      </c>
      <c r="D301" s="71"/>
      <c r="E301" s="72"/>
      <c r="F301" s="73" t="str">
        <f t="shared" si="13"/>
        <v/>
      </c>
      <c r="G301" s="71"/>
      <c r="H301" s="72"/>
      <c r="I301" s="73" t="str">
        <f t="shared" si="14"/>
        <v/>
      </c>
    </row>
    <row r="302" spans="1:9" s="73" customFormat="1" ht="16.5">
      <c r="A302" s="71"/>
      <c r="B302" s="75"/>
      <c r="C302" s="73" t="str">
        <f t="shared" si="12"/>
        <v/>
      </c>
      <c r="D302" s="71"/>
      <c r="E302" s="75"/>
      <c r="F302" s="73" t="str">
        <f t="shared" si="13"/>
        <v/>
      </c>
      <c r="G302" s="71"/>
      <c r="H302" s="75"/>
      <c r="I302" s="73" t="str">
        <f t="shared" si="14"/>
        <v/>
      </c>
    </row>
    <row r="303" spans="1:9" s="73" customFormat="1" ht="16.5">
      <c r="A303" s="71"/>
      <c r="B303" s="75"/>
      <c r="C303" s="73" t="str">
        <f t="shared" si="12"/>
        <v/>
      </c>
      <c r="D303" s="71"/>
      <c r="E303" s="75"/>
      <c r="F303" s="73" t="str">
        <f t="shared" si="13"/>
        <v/>
      </c>
      <c r="G303" s="71"/>
      <c r="H303" s="75"/>
      <c r="I303" s="73" t="str">
        <f t="shared" si="14"/>
        <v/>
      </c>
    </row>
    <row r="304" spans="1:9" s="73" customFormat="1" ht="16.5">
      <c r="A304" s="71"/>
      <c r="B304" s="75"/>
      <c r="C304" s="73" t="str">
        <f t="shared" si="12"/>
        <v/>
      </c>
      <c r="D304" s="71"/>
      <c r="E304" s="75"/>
      <c r="F304" s="73" t="str">
        <f t="shared" si="13"/>
        <v/>
      </c>
      <c r="G304" s="71"/>
      <c r="H304" s="75"/>
      <c r="I304" s="73" t="str">
        <f t="shared" si="14"/>
        <v/>
      </c>
    </row>
    <row r="305" spans="1:7" s="73" customFormat="1" ht="16.5">
      <c r="A305" s="73" t="s">
        <v>132</v>
      </c>
      <c r="D305" s="73" t="s">
        <v>132</v>
      </c>
      <c r="G305" s="73" t="s">
        <v>132</v>
      </c>
    </row>
  </sheetData>
  <mergeCells count="4">
    <mergeCell ref="A2:H2"/>
    <mergeCell ref="A3:B3"/>
    <mergeCell ref="D3:E3"/>
    <mergeCell ref="G3:H3"/>
  </mergeCells>
  <phoneticPr fontId="11" type="noConversion"/>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A600"/>
  <sheetViews>
    <sheetView zoomScaleNormal="100" workbookViewId="0">
      <pane ySplit="1" topLeftCell="A2" activePane="bottomLeft" state="frozen"/>
      <selection pane="bottomLeft" activeCell="D15" sqref="D15"/>
    </sheetView>
  </sheetViews>
  <sheetFormatPr defaultColWidth="73.375" defaultRowHeight="12"/>
  <cols>
    <col min="1" max="1" width="7.625" style="115" bestFit="1" customWidth="1"/>
    <col min="2" max="2" width="8.375" style="116" bestFit="1" customWidth="1"/>
    <col min="3" max="3" width="15.75" style="117" customWidth="1"/>
    <col min="4" max="4" width="47.125" style="118" customWidth="1"/>
    <col min="5" max="5" width="56.125" style="118" customWidth="1"/>
    <col min="6" max="6" width="57.375" style="115" customWidth="1"/>
    <col min="7" max="26" width="73.375" style="115"/>
    <col min="27" max="27" width="73.375" style="115" hidden="1" customWidth="1"/>
    <col min="28" max="29" width="73.375" style="115"/>
    <col min="30" max="30" width="0" style="115" hidden="1" customWidth="1"/>
    <col min="31" max="16384" width="73.375" style="115"/>
  </cols>
  <sheetData>
    <row r="1" spans="1:6" s="113" customFormat="1">
      <c r="A1" s="113" t="s">
        <v>133</v>
      </c>
      <c r="B1" s="113" t="s">
        <v>134</v>
      </c>
      <c r="C1" s="114" t="s">
        <v>135</v>
      </c>
      <c r="D1" s="114" t="s">
        <v>136</v>
      </c>
      <c r="E1" s="114" t="s">
        <v>137</v>
      </c>
      <c r="F1" s="113" t="s">
        <v>138</v>
      </c>
    </row>
    <row r="2" spans="1:6" ht="84">
      <c r="A2" s="115" t="s">
        <v>139</v>
      </c>
      <c r="B2" s="116">
        <v>1</v>
      </c>
      <c r="C2" s="117" t="s">
        <v>140</v>
      </c>
      <c r="D2" s="118" t="s">
        <v>141</v>
      </c>
      <c r="E2" s="118" t="s">
        <v>142</v>
      </c>
      <c r="F2" s="118" t="s">
        <v>142</v>
      </c>
    </row>
    <row r="3" spans="1:6" ht="96">
      <c r="A3" s="119">
        <v>650</v>
      </c>
      <c r="B3" s="116">
        <v>2</v>
      </c>
      <c r="C3" s="117" t="s">
        <v>140</v>
      </c>
      <c r="D3" s="118" t="s">
        <v>143</v>
      </c>
      <c r="E3" s="118" t="s">
        <v>144</v>
      </c>
      <c r="F3" s="118" t="s">
        <v>144</v>
      </c>
    </row>
    <row r="4" spans="1:6" ht="60">
      <c r="B4" s="116">
        <v>3</v>
      </c>
      <c r="C4" s="117" t="s">
        <v>140</v>
      </c>
      <c r="D4" s="118" t="s">
        <v>145</v>
      </c>
      <c r="E4" s="118" t="s">
        <v>146</v>
      </c>
      <c r="F4" s="118" t="s">
        <v>146</v>
      </c>
    </row>
    <row r="5" spans="1:6" ht="60">
      <c r="B5" s="116">
        <v>4</v>
      </c>
      <c r="C5" s="117" t="s">
        <v>140</v>
      </c>
      <c r="D5" s="118" t="s">
        <v>147</v>
      </c>
      <c r="E5" s="118" t="s">
        <v>148</v>
      </c>
      <c r="F5" s="118" t="s">
        <v>148</v>
      </c>
    </row>
    <row r="6" spans="1:6" ht="60">
      <c r="B6" s="116">
        <v>5</v>
      </c>
      <c r="C6" s="117" t="s">
        <v>140</v>
      </c>
      <c r="D6" s="118" t="s">
        <v>149</v>
      </c>
      <c r="E6" s="118" t="s">
        <v>150</v>
      </c>
      <c r="F6" s="118" t="s">
        <v>150</v>
      </c>
    </row>
    <row r="7" spans="1:6" ht="48">
      <c r="B7" s="116">
        <v>6</v>
      </c>
      <c r="C7" s="117" t="s">
        <v>140</v>
      </c>
      <c r="D7" s="118" t="s">
        <v>151</v>
      </c>
      <c r="E7" s="118" t="s">
        <v>152</v>
      </c>
      <c r="F7" s="118" t="s">
        <v>152</v>
      </c>
    </row>
    <row r="8" spans="1:6">
      <c r="B8" s="116">
        <v>7</v>
      </c>
      <c r="C8" s="117" t="s">
        <v>140</v>
      </c>
      <c r="D8" s="118" t="s">
        <v>153</v>
      </c>
      <c r="E8" s="118" t="s">
        <v>154</v>
      </c>
      <c r="F8" s="118" t="s">
        <v>154</v>
      </c>
    </row>
    <row r="9" spans="1:6" ht="48">
      <c r="B9" s="116">
        <v>8</v>
      </c>
      <c r="C9" s="117" t="s">
        <v>155</v>
      </c>
      <c r="D9" s="118" t="s">
        <v>156</v>
      </c>
      <c r="E9" s="134" t="s">
        <v>157</v>
      </c>
      <c r="F9" s="134" t="s">
        <v>157</v>
      </c>
    </row>
    <row r="10" spans="1:6" ht="48">
      <c r="B10" s="116">
        <v>9</v>
      </c>
      <c r="C10" s="117" t="s">
        <v>155</v>
      </c>
      <c r="D10" s="118" t="s">
        <v>158</v>
      </c>
      <c r="E10" s="118" t="s">
        <v>159</v>
      </c>
      <c r="F10" s="118" t="s">
        <v>159</v>
      </c>
    </row>
    <row r="11" spans="1:6" ht="60">
      <c r="B11" s="116">
        <v>10</v>
      </c>
      <c r="C11" s="117" t="s">
        <v>155</v>
      </c>
      <c r="D11" s="118" t="s">
        <v>160</v>
      </c>
      <c r="E11" s="118" t="s">
        <v>161</v>
      </c>
      <c r="F11" s="118" t="s">
        <v>161</v>
      </c>
    </row>
    <row r="12" spans="1:6" ht="48">
      <c r="B12" s="116">
        <v>11</v>
      </c>
      <c r="C12" s="117" t="s">
        <v>155</v>
      </c>
      <c r="D12" s="118" t="s">
        <v>162</v>
      </c>
      <c r="E12" s="118" t="s">
        <v>163</v>
      </c>
      <c r="F12" s="118" t="s">
        <v>163</v>
      </c>
    </row>
    <row r="13" spans="1:6" ht="84">
      <c r="B13" s="116">
        <v>12</v>
      </c>
      <c r="C13" s="117" t="s">
        <v>155</v>
      </c>
      <c r="D13" s="118" t="s">
        <v>164</v>
      </c>
      <c r="E13" s="118" t="s">
        <v>165</v>
      </c>
      <c r="F13" s="118" t="s">
        <v>165</v>
      </c>
    </row>
    <row r="14" spans="1:6" ht="48">
      <c r="B14" s="116">
        <v>13</v>
      </c>
      <c r="C14" s="117" t="s">
        <v>140</v>
      </c>
      <c r="D14" s="118" t="s">
        <v>166</v>
      </c>
      <c r="E14" s="118" t="s">
        <v>167</v>
      </c>
      <c r="F14" s="118" t="s">
        <v>167</v>
      </c>
    </row>
    <row r="15" spans="1:6" ht="36">
      <c r="B15" s="116">
        <v>14</v>
      </c>
      <c r="C15" s="117" t="s">
        <v>140</v>
      </c>
      <c r="D15" s="118" t="s">
        <v>168</v>
      </c>
      <c r="E15" s="118" t="s">
        <v>169</v>
      </c>
      <c r="F15" s="118" t="s">
        <v>169</v>
      </c>
    </row>
    <row r="16" spans="1:6">
      <c r="B16" s="116">
        <v>15</v>
      </c>
      <c r="C16" s="117" t="s">
        <v>140</v>
      </c>
      <c r="D16" s="118" t="s">
        <v>170</v>
      </c>
      <c r="E16" s="118" t="s">
        <v>171</v>
      </c>
      <c r="F16" s="118" t="s">
        <v>171</v>
      </c>
    </row>
    <row r="17" spans="1:6">
      <c r="B17" s="116">
        <v>101</v>
      </c>
      <c r="D17" s="118" t="s">
        <v>172</v>
      </c>
      <c r="E17" s="118" t="s">
        <v>173</v>
      </c>
      <c r="F17" s="118" t="s">
        <v>173</v>
      </c>
    </row>
    <row r="18" spans="1:6">
      <c r="B18" s="116">
        <v>102</v>
      </c>
      <c r="D18" s="118" t="s">
        <v>174</v>
      </c>
      <c r="E18" s="118" t="s">
        <v>175</v>
      </c>
      <c r="F18" s="118" t="s">
        <v>175</v>
      </c>
    </row>
    <row r="19" spans="1:6">
      <c r="B19" s="116">
        <v>103</v>
      </c>
      <c r="D19" s="118" t="s">
        <v>176</v>
      </c>
      <c r="E19" s="118" t="s">
        <v>177</v>
      </c>
      <c r="F19" s="118" t="s">
        <v>177</v>
      </c>
    </row>
    <row r="20" spans="1:6">
      <c r="B20" s="116">
        <v>104</v>
      </c>
      <c r="D20" s="118" t="s">
        <v>178</v>
      </c>
      <c r="E20" s="118" t="s">
        <v>179</v>
      </c>
      <c r="F20" s="118" t="s">
        <v>179</v>
      </c>
    </row>
    <row r="21" spans="1:6">
      <c r="B21" s="116">
        <v>105</v>
      </c>
      <c r="D21" s="118" t="s">
        <v>180</v>
      </c>
      <c r="E21" s="118" t="s">
        <v>181</v>
      </c>
      <c r="F21" s="118" t="s">
        <v>181</v>
      </c>
    </row>
    <row r="22" spans="1:6">
      <c r="B22" s="116">
        <v>106</v>
      </c>
      <c r="D22" s="118" t="s">
        <v>182</v>
      </c>
      <c r="E22" s="118" t="s">
        <v>183</v>
      </c>
      <c r="F22" s="118" t="s">
        <v>183</v>
      </c>
    </row>
    <row r="23" spans="1:6" ht="36">
      <c r="B23" s="116">
        <v>107</v>
      </c>
      <c r="D23" s="118" t="s">
        <v>184</v>
      </c>
      <c r="E23" s="118" t="s">
        <v>185</v>
      </c>
      <c r="F23" s="118" t="s">
        <v>185</v>
      </c>
    </row>
    <row r="24" spans="1:6" ht="36">
      <c r="B24" s="116">
        <v>108</v>
      </c>
      <c r="D24" s="118" t="s">
        <v>186</v>
      </c>
      <c r="E24" s="118" t="s">
        <v>187</v>
      </c>
      <c r="F24" s="118" t="s">
        <v>187</v>
      </c>
    </row>
    <row r="25" spans="1:6">
      <c r="B25" s="116">
        <v>109</v>
      </c>
      <c r="D25" s="118" t="s">
        <v>188</v>
      </c>
      <c r="E25" s="118" t="s">
        <v>189</v>
      </c>
      <c r="F25" s="118" t="s">
        <v>189</v>
      </c>
    </row>
    <row r="26" spans="1:6">
      <c r="B26" s="116">
        <v>110</v>
      </c>
      <c r="D26" s="118" t="s">
        <v>190</v>
      </c>
      <c r="E26" s="118" t="s">
        <v>191</v>
      </c>
      <c r="F26" s="118" t="s">
        <v>191</v>
      </c>
    </row>
    <row r="27" spans="1:6">
      <c r="B27" s="116">
        <v>111</v>
      </c>
      <c r="D27" s="118" t="s">
        <v>192</v>
      </c>
      <c r="E27" s="118" t="s">
        <v>193</v>
      </c>
      <c r="F27" s="118" t="s">
        <v>193</v>
      </c>
    </row>
    <row r="28" spans="1:6">
      <c r="A28" s="120"/>
      <c r="B28" s="116">
        <v>112</v>
      </c>
      <c r="C28" s="121" t="s">
        <v>194</v>
      </c>
      <c r="D28" s="119" t="s">
        <v>195</v>
      </c>
      <c r="E28" s="119" t="s">
        <v>196</v>
      </c>
      <c r="F28" s="119" t="s">
        <v>196</v>
      </c>
    </row>
    <row r="29" spans="1:6">
      <c r="B29" s="116">
        <v>113</v>
      </c>
      <c r="D29" s="118" t="s">
        <v>197</v>
      </c>
      <c r="E29" s="118" t="s">
        <v>196</v>
      </c>
      <c r="F29" s="118" t="s">
        <v>196</v>
      </c>
    </row>
    <row r="30" spans="1:6">
      <c r="B30" s="116">
        <v>114</v>
      </c>
      <c r="C30" s="117" t="s">
        <v>198</v>
      </c>
      <c r="D30" s="118" t="s">
        <v>199</v>
      </c>
      <c r="E30" s="118" t="s">
        <v>200</v>
      </c>
      <c r="F30" s="118" t="s">
        <v>200</v>
      </c>
    </row>
    <row r="31" spans="1:6">
      <c r="B31" s="116">
        <v>115</v>
      </c>
      <c r="D31" s="118" t="s">
        <v>201</v>
      </c>
      <c r="E31" s="118" t="s">
        <v>202</v>
      </c>
      <c r="F31" s="118" t="s">
        <v>202</v>
      </c>
    </row>
    <row r="32" spans="1:6">
      <c r="B32" s="116">
        <v>116</v>
      </c>
      <c r="D32" s="118" t="s">
        <v>203</v>
      </c>
      <c r="E32" s="118" t="s">
        <v>204</v>
      </c>
      <c r="F32" s="118" t="s">
        <v>204</v>
      </c>
    </row>
    <row r="33" spans="2:6">
      <c r="B33" s="116">
        <v>117</v>
      </c>
      <c r="D33" s="118" t="s">
        <v>205</v>
      </c>
      <c r="E33" s="118" t="s">
        <v>206</v>
      </c>
      <c r="F33" s="118" t="s">
        <v>206</v>
      </c>
    </row>
    <row r="34" spans="2:6" ht="24">
      <c r="B34" s="116">
        <v>118</v>
      </c>
      <c r="D34" s="118" t="s">
        <v>207</v>
      </c>
      <c r="E34" s="118" t="s">
        <v>208</v>
      </c>
      <c r="F34" s="118" t="s">
        <v>208</v>
      </c>
    </row>
    <row r="35" spans="2:6">
      <c r="B35" s="116">
        <v>119</v>
      </c>
      <c r="D35" s="118" t="s">
        <v>209</v>
      </c>
      <c r="E35" s="118" t="s">
        <v>210</v>
      </c>
      <c r="F35" s="118" t="s">
        <v>210</v>
      </c>
    </row>
    <row r="36" spans="2:6">
      <c r="B36" s="116">
        <v>120</v>
      </c>
      <c r="D36" s="118" t="s">
        <v>211</v>
      </c>
      <c r="E36" s="118" t="s">
        <v>212</v>
      </c>
      <c r="F36" s="118" t="s">
        <v>212</v>
      </c>
    </row>
    <row r="37" spans="2:6" ht="24">
      <c r="B37" s="116">
        <v>121</v>
      </c>
      <c r="D37" s="118" t="s">
        <v>213</v>
      </c>
      <c r="E37" s="118" t="s">
        <v>214</v>
      </c>
      <c r="F37" s="118" t="s">
        <v>214</v>
      </c>
    </row>
    <row r="38" spans="2:6">
      <c r="B38" s="116">
        <v>122</v>
      </c>
      <c r="D38" s="118" t="s">
        <v>215</v>
      </c>
      <c r="E38" s="118" t="s">
        <v>216</v>
      </c>
      <c r="F38" s="118" t="s">
        <v>216</v>
      </c>
    </row>
    <row r="39" spans="2:6">
      <c r="B39" s="116">
        <v>123</v>
      </c>
      <c r="D39" s="118" t="s">
        <v>217</v>
      </c>
      <c r="E39" s="118" t="s">
        <v>218</v>
      </c>
      <c r="F39" s="118" t="s">
        <v>218</v>
      </c>
    </row>
    <row r="40" spans="2:6">
      <c r="B40" s="116">
        <v>124</v>
      </c>
      <c r="D40" s="118" t="s">
        <v>219</v>
      </c>
      <c r="E40" s="118" t="s">
        <v>220</v>
      </c>
      <c r="F40" s="118" t="s">
        <v>220</v>
      </c>
    </row>
    <row r="41" spans="2:6" ht="24">
      <c r="B41" s="116">
        <v>125</v>
      </c>
      <c r="D41" s="118" t="s">
        <v>221</v>
      </c>
      <c r="E41" s="118" t="s">
        <v>222</v>
      </c>
      <c r="F41" s="118" t="s">
        <v>222</v>
      </c>
    </row>
    <row r="42" spans="2:6" ht="24">
      <c r="B42" s="116">
        <v>126</v>
      </c>
      <c r="D42" s="118" t="s">
        <v>223</v>
      </c>
      <c r="E42" s="118" t="s">
        <v>224</v>
      </c>
      <c r="F42" s="118" t="s">
        <v>224</v>
      </c>
    </row>
    <row r="43" spans="2:6" ht="24">
      <c r="B43" s="116">
        <v>127</v>
      </c>
      <c r="D43" s="118" t="s">
        <v>225</v>
      </c>
      <c r="E43" s="118" t="s">
        <v>226</v>
      </c>
      <c r="F43" s="118" t="s">
        <v>226</v>
      </c>
    </row>
    <row r="44" spans="2:6" ht="24">
      <c r="B44" s="116">
        <v>128</v>
      </c>
      <c r="D44" s="118" t="s">
        <v>227</v>
      </c>
      <c r="E44" s="118" t="s">
        <v>228</v>
      </c>
      <c r="F44" s="118" t="s">
        <v>228</v>
      </c>
    </row>
    <row r="45" spans="2:6" ht="24">
      <c r="B45" s="116">
        <v>129</v>
      </c>
      <c r="D45" s="118" t="s">
        <v>229</v>
      </c>
      <c r="E45" s="118" t="s">
        <v>230</v>
      </c>
      <c r="F45" s="118" t="s">
        <v>230</v>
      </c>
    </row>
    <row r="46" spans="2:6">
      <c r="B46" s="116">
        <v>130</v>
      </c>
      <c r="D46" s="118" t="s">
        <v>231</v>
      </c>
      <c r="E46" s="118" t="s">
        <v>232</v>
      </c>
      <c r="F46" s="118" t="s">
        <v>232</v>
      </c>
    </row>
    <row r="47" spans="2:6">
      <c r="B47" s="116">
        <v>131</v>
      </c>
      <c r="D47" s="118" t="s">
        <v>233</v>
      </c>
      <c r="E47" s="118" t="s">
        <v>234</v>
      </c>
      <c r="F47" s="118" t="s">
        <v>234</v>
      </c>
    </row>
    <row r="48" spans="2:6">
      <c r="B48" s="116">
        <v>132</v>
      </c>
      <c r="D48" s="118" t="s">
        <v>235</v>
      </c>
      <c r="E48" s="118" t="s">
        <v>236</v>
      </c>
      <c r="F48" s="118" t="s">
        <v>236</v>
      </c>
    </row>
    <row r="49" spans="2:6">
      <c r="B49" s="116">
        <v>133</v>
      </c>
      <c r="D49" s="118" t="s">
        <v>237</v>
      </c>
      <c r="E49" s="118" t="s">
        <v>238</v>
      </c>
      <c r="F49" s="118" t="s">
        <v>238</v>
      </c>
    </row>
    <row r="50" spans="2:6">
      <c r="B50" s="116">
        <v>134</v>
      </c>
      <c r="D50" s="118" t="s">
        <v>239</v>
      </c>
      <c r="E50" s="118" t="s">
        <v>240</v>
      </c>
      <c r="F50" s="118" t="s">
        <v>240</v>
      </c>
    </row>
    <row r="51" spans="2:6">
      <c r="B51" s="116">
        <v>135</v>
      </c>
      <c r="D51" s="119" t="s">
        <v>241</v>
      </c>
      <c r="E51" s="122">
        <v>43435</v>
      </c>
      <c r="F51" s="122">
        <v>43435</v>
      </c>
    </row>
    <row r="52" spans="2:6">
      <c r="B52" s="116">
        <v>136</v>
      </c>
      <c r="D52" s="119" t="s">
        <v>242</v>
      </c>
      <c r="E52" s="122">
        <v>43465</v>
      </c>
      <c r="F52" s="122">
        <v>43465</v>
      </c>
    </row>
    <row r="53" spans="2:6">
      <c r="B53" s="116">
        <v>137</v>
      </c>
      <c r="D53" s="118" t="s">
        <v>243</v>
      </c>
      <c r="E53" s="118" t="s">
        <v>243</v>
      </c>
      <c r="F53" s="118" t="s">
        <v>243</v>
      </c>
    </row>
    <row r="54" spans="2:6">
      <c r="B54" s="116">
        <v>138</v>
      </c>
      <c r="D54" s="118" t="s">
        <v>244</v>
      </c>
      <c r="E54" s="118" t="s">
        <v>245</v>
      </c>
      <c r="F54" s="118" t="s">
        <v>245</v>
      </c>
    </row>
    <row r="55" spans="2:6">
      <c r="B55" s="116">
        <v>139</v>
      </c>
      <c r="C55" s="117" t="s">
        <v>246</v>
      </c>
      <c r="D55" s="118" t="s">
        <v>247</v>
      </c>
      <c r="E55" s="118" t="s">
        <v>248</v>
      </c>
      <c r="F55" s="118" t="s">
        <v>248</v>
      </c>
    </row>
    <row r="56" spans="2:6" ht="24">
      <c r="B56" s="116">
        <v>140</v>
      </c>
      <c r="D56" s="118" t="s">
        <v>249</v>
      </c>
      <c r="E56" s="118" t="s">
        <v>250</v>
      </c>
      <c r="F56" s="118" t="s">
        <v>250</v>
      </c>
    </row>
    <row r="57" spans="2:6" ht="24">
      <c r="B57" s="116">
        <v>141</v>
      </c>
      <c r="D57" s="118" t="s">
        <v>251</v>
      </c>
      <c r="E57" s="118" t="s">
        <v>252</v>
      </c>
      <c r="F57" s="118" t="s">
        <v>252</v>
      </c>
    </row>
    <row r="58" spans="2:6">
      <c r="B58" s="116">
        <v>142</v>
      </c>
      <c r="D58" s="118" t="s">
        <v>253</v>
      </c>
      <c r="E58" s="118" t="s">
        <v>254</v>
      </c>
      <c r="F58" s="118" t="s">
        <v>254</v>
      </c>
    </row>
    <row r="59" spans="2:6">
      <c r="B59" s="116">
        <v>143</v>
      </c>
      <c r="C59" s="117" t="s">
        <v>255</v>
      </c>
      <c r="D59" s="115" t="s">
        <v>256</v>
      </c>
      <c r="E59" s="123" t="s">
        <v>257</v>
      </c>
      <c r="F59" s="123" t="s">
        <v>257</v>
      </c>
    </row>
    <row r="60" spans="2:6">
      <c r="B60" s="116">
        <v>144</v>
      </c>
      <c r="D60" s="118" t="s">
        <v>258</v>
      </c>
      <c r="E60" s="118" t="s">
        <v>259</v>
      </c>
      <c r="F60" s="118" t="s">
        <v>259</v>
      </c>
    </row>
    <row r="61" spans="2:6" ht="24">
      <c r="B61" s="116">
        <v>145</v>
      </c>
      <c r="D61" s="118" t="s">
        <v>260</v>
      </c>
      <c r="E61" s="118" t="s">
        <v>261</v>
      </c>
      <c r="F61" s="118" t="s">
        <v>261</v>
      </c>
    </row>
    <row r="62" spans="2:6">
      <c r="B62" s="116">
        <v>146</v>
      </c>
      <c r="D62" s="118" t="s">
        <v>262</v>
      </c>
      <c r="E62" s="118" t="s">
        <v>263</v>
      </c>
      <c r="F62" s="118" t="s">
        <v>263</v>
      </c>
    </row>
    <row r="63" spans="2:6" ht="24">
      <c r="B63" s="116">
        <v>147</v>
      </c>
      <c r="D63" s="118" t="s">
        <v>264</v>
      </c>
      <c r="E63" s="118" t="s">
        <v>265</v>
      </c>
      <c r="F63" s="118" t="s">
        <v>265</v>
      </c>
    </row>
    <row r="64" spans="2:6">
      <c r="B64" s="116">
        <v>148</v>
      </c>
      <c r="D64" s="118" t="s">
        <v>266</v>
      </c>
      <c r="E64" s="118" t="s">
        <v>267</v>
      </c>
      <c r="F64" s="118" t="s">
        <v>267</v>
      </c>
    </row>
    <row r="65" spans="1:6">
      <c r="B65" s="116">
        <v>149</v>
      </c>
      <c r="D65" s="118" t="s">
        <v>268</v>
      </c>
      <c r="E65" s="118" t="s">
        <v>269</v>
      </c>
      <c r="F65" s="118" t="s">
        <v>269</v>
      </c>
    </row>
    <row r="66" spans="1:6">
      <c r="B66" s="116">
        <v>150</v>
      </c>
      <c r="D66" s="118" t="s">
        <v>270</v>
      </c>
      <c r="E66" s="118" t="s">
        <v>271</v>
      </c>
      <c r="F66" s="118" t="s">
        <v>271</v>
      </c>
    </row>
    <row r="67" spans="1:6">
      <c r="B67" s="116">
        <v>151</v>
      </c>
      <c r="C67" s="117" t="s">
        <v>255</v>
      </c>
      <c r="D67" s="115" t="s">
        <v>272</v>
      </c>
      <c r="E67" s="123" t="s">
        <v>273</v>
      </c>
      <c r="F67" s="123" t="s">
        <v>273</v>
      </c>
    </row>
    <row r="68" spans="1:6">
      <c r="B68" s="116">
        <v>152</v>
      </c>
      <c r="D68" s="118" t="s">
        <v>274</v>
      </c>
      <c r="E68" s="118" t="s">
        <v>275</v>
      </c>
      <c r="F68" s="118" t="s">
        <v>275</v>
      </c>
    </row>
    <row r="69" spans="1:6">
      <c r="B69" s="116">
        <v>153</v>
      </c>
      <c r="D69" s="118" t="s">
        <v>276</v>
      </c>
      <c r="E69" s="118" t="s">
        <v>277</v>
      </c>
      <c r="F69" s="118" t="s">
        <v>277</v>
      </c>
    </row>
    <row r="70" spans="1:6">
      <c r="B70" s="116">
        <v>154</v>
      </c>
      <c r="D70" s="118" t="s">
        <v>278</v>
      </c>
      <c r="E70" s="118" t="s">
        <v>279</v>
      </c>
      <c r="F70" s="118" t="s">
        <v>279</v>
      </c>
    </row>
    <row r="71" spans="1:6" ht="24">
      <c r="B71" s="116">
        <v>155</v>
      </c>
      <c r="D71" s="118" t="s">
        <v>280</v>
      </c>
      <c r="E71" s="118" t="s">
        <v>281</v>
      </c>
      <c r="F71" s="118" t="s">
        <v>281</v>
      </c>
    </row>
    <row r="72" spans="1:6">
      <c r="B72" s="116">
        <v>156</v>
      </c>
      <c r="C72" s="117" t="s">
        <v>255</v>
      </c>
      <c r="D72" s="115" t="s">
        <v>282</v>
      </c>
      <c r="E72" s="123" t="s">
        <v>283</v>
      </c>
      <c r="F72" s="123" t="s">
        <v>283</v>
      </c>
    </row>
    <row r="73" spans="1:6">
      <c r="B73" s="116">
        <v>157</v>
      </c>
      <c r="C73" s="117" t="s">
        <v>255</v>
      </c>
      <c r="D73" s="115" t="s">
        <v>284</v>
      </c>
      <c r="E73" s="123" t="s">
        <v>285</v>
      </c>
      <c r="F73" s="123" t="s">
        <v>285</v>
      </c>
    </row>
    <row r="74" spans="1:6">
      <c r="B74" s="116">
        <v>158</v>
      </c>
      <c r="D74" s="118" t="s">
        <v>286</v>
      </c>
      <c r="E74" s="118" t="s">
        <v>287</v>
      </c>
      <c r="F74" s="118" t="s">
        <v>287</v>
      </c>
    </row>
    <row r="75" spans="1:6">
      <c r="A75" s="124"/>
      <c r="B75" s="116">
        <v>159</v>
      </c>
      <c r="C75" s="121" t="s">
        <v>194</v>
      </c>
      <c r="D75" s="119" t="s">
        <v>288</v>
      </c>
      <c r="E75" s="119" t="s">
        <v>289</v>
      </c>
      <c r="F75" s="119" t="s">
        <v>289</v>
      </c>
    </row>
    <row r="76" spans="1:6">
      <c r="B76" s="116">
        <v>160</v>
      </c>
      <c r="D76" s="118" t="s">
        <v>290</v>
      </c>
      <c r="E76" s="119" t="s">
        <v>291</v>
      </c>
      <c r="F76" s="119" t="s">
        <v>291</v>
      </c>
    </row>
    <row r="77" spans="1:6">
      <c r="B77" s="116">
        <v>161</v>
      </c>
      <c r="D77" s="118" t="s">
        <v>292</v>
      </c>
      <c r="E77" s="119" t="s">
        <v>293</v>
      </c>
      <c r="F77" s="119" t="s">
        <v>293</v>
      </c>
    </row>
    <row r="78" spans="1:6">
      <c r="B78" s="116">
        <v>162</v>
      </c>
      <c r="D78" s="118" t="s">
        <v>294</v>
      </c>
      <c r="E78" s="118" t="s">
        <v>295</v>
      </c>
      <c r="F78" s="118" t="s">
        <v>295</v>
      </c>
    </row>
    <row r="79" spans="1:6">
      <c r="B79" s="116">
        <v>163</v>
      </c>
      <c r="D79" s="118" t="s">
        <v>296</v>
      </c>
      <c r="E79" s="118" t="s">
        <v>297</v>
      </c>
      <c r="F79" s="118" t="s">
        <v>297</v>
      </c>
    </row>
    <row r="80" spans="1:6">
      <c r="B80" s="116">
        <v>164</v>
      </c>
      <c r="D80" s="118" t="s">
        <v>298</v>
      </c>
      <c r="E80" s="118" t="s">
        <v>299</v>
      </c>
      <c r="F80" s="118" t="s">
        <v>299</v>
      </c>
    </row>
    <row r="81" spans="1:6">
      <c r="A81" s="124"/>
      <c r="B81" s="116">
        <v>165</v>
      </c>
      <c r="C81" s="121" t="s">
        <v>194</v>
      </c>
      <c r="D81" s="119" t="s">
        <v>300</v>
      </c>
      <c r="E81" s="119" t="s">
        <v>301</v>
      </c>
      <c r="F81" s="119" t="s">
        <v>301</v>
      </c>
    </row>
    <row r="82" spans="1:6">
      <c r="A82" s="124"/>
      <c r="B82" s="116">
        <v>166</v>
      </c>
      <c r="C82" s="121" t="s">
        <v>194</v>
      </c>
      <c r="D82" s="119" t="s">
        <v>302</v>
      </c>
      <c r="E82" s="119" t="s">
        <v>303</v>
      </c>
      <c r="F82" s="119" t="s">
        <v>303</v>
      </c>
    </row>
    <row r="83" spans="1:6">
      <c r="A83" s="124"/>
      <c r="B83" s="116">
        <v>167</v>
      </c>
      <c r="C83" s="121" t="s">
        <v>194</v>
      </c>
      <c r="D83" s="119" t="s">
        <v>304</v>
      </c>
      <c r="E83" s="119" t="s">
        <v>305</v>
      </c>
      <c r="F83" s="119" t="s">
        <v>305</v>
      </c>
    </row>
    <row r="84" spans="1:6">
      <c r="A84" s="124"/>
      <c r="B84" s="116">
        <v>168</v>
      </c>
      <c r="C84" s="121" t="s">
        <v>194</v>
      </c>
      <c r="D84" s="119" t="s">
        <v>306</v>
      </c>
      <c r="E84" s="119" t="s">
        <v>307</v>
      </c>
      <c r="F84" s="119" t="s">
        <v>307</v>
      </c>
    </row>
    <row r="85" spans="1:6">
      <c r="B85" s="116">
        <v>169</v>
      </c>
      <c r="D85" s="118" t="s">
        <v>308</v>
      </c>
      <c r="E85" s="118" t="s">
        <v>309</v>
      </c>
      <c r="F85" s="118" t="s">
        <v>309</v>
      </c>
    </row>
    <row r="86" spans="1:6">
      <c r="B86" s="116">
        <v>170</v>
      </c>
      <c r="D86" s="118" t="s">
        <v>310</v>
      </c>
      <c r="E86" s="118" t="s">
        <v>311</v>
      </c>
      <c r="F86" s="118" t="s">
        <v>311</v>
      </c>
    </row>
    <row r="87" spans="1:6">
      <c r="B87" s="116">
        <v>171</v>
      </c>
      <c r="D87" s="118" t="s">
        <v>312</v>
      </c>
      <c r="E87" s="118" t="s">
        <v>313</v>
      </c>
      <c r="F87" s="118" t="s">
        <v>313</v>
      </c>
    </row>
    <row r="88" spans="1:6">
      <c r="B88" s="116">
        <v>172</v>
      </c>
      <c r="D88" s="118" t="s">
        <v>314</v>
      </c>
      <c r="E88" s="118" t="s">
        <v>315</v>
      </c>
      <c r="F88" s="118" t="s">
        <v>315</v>
      </c>
    </row>
    <row r="89" spans="1:6">
      <c r="B89" s="116">
        <v>173</v>
      </c>
      <c r="D89" s="118" t="s">
        <v>316</v>
      </c>
      <c r="E89" s="118" t="s">
        <v>317</v>
      </c>
      <c r="F89" s="118" t="s">
        <v>317</v>
      </c>
    </row>
    <row r="90" spans="1:6">
      <c r="B90" s="116">
        <v>174</v>
      </c>
      <c r="D90" s="118" t="s">
        <v>318</v>
      </c>
      <c r="E90" s="118" t="s">
        <v>319</v>
      </c>
      <c r="F90" s="118" t="s">
        <v>319</v>
      </c>
    </row>
    <row r="91" spans="1:6">
      <c r="B91" s="116">
        <v>175</v>
      </c>
      <c r="D91" s="118" t="s">
        <v>320</v>
      </c>
      <c r="E91" s="118" t="s">
        <v>321</v>
      </c>
      <c r="F91" s="118" t="s">
        <v>321</v>
      </c>
    </row>
    <row r="92" spans="1:6" ht="24">
      <c r="B92" s="116">
        <v>176</v>
      </c>
      <c r="D92" s="118" t="s">
        <v>322</v>
      </c>
      <c r="E92" s="118" t="s">
        <v>323</v>
      </c>
      <c r="F92" s="118" t="s">
        <v>323</v>
      </c>
    </row>
    <row r="93" spans="1:6">
      <c r="B93" s="116">
        <v>177</v>
      </c>
      <c r="D93" s="118" t="s">
        <v>324</v>
      </c>
      <c r="E93" s="118" t="s">
        <v>325</v>
      </c>
      <c r="F93" s="118" t="s">
        <v>325</v>
      </c>
    </row>
    <row r="94" spans="1:6">
      <c r="B94" s="116">
        <v>178</v>
      </c>
      <c r="D94" s="118" t="s">
        <v>326</v>
      </c>
      <c r="E94" s="118" t="s">
        <v>327</v>
      </c>
      <c r="F94" s="118" t="s">
        <v>327</v>
      </c>
    </row>
    <row r="95" spans="1:6">
      <c r="B95" s="116">
        <v>179</v>
      </c>
      <c r="D95" s="118" t="s">
        <v>328</v>
      </c>
      <c r="E95" s="118" t="s">
        <v>329</v>
      </c>
      <c r="F95" s="118" t="s">
        <v>329</v>
      </c>
    </row>
    <row r="96" spans="1:6">
      <c r="B96" s="116">
        <v>180</v>
      </c>
      <c r="D96" s="118" t="s">
        <v>330</v>
      </c>
      <c r="E96" s="118" t="s">
        <v>331</v>
      </c>
      <c r="F96" s="118" t="s">
        <v>331</v>
      </c>
    </row>
    <row r="97" spans="2:6">
      <c r="B97" s="116">
        <v>181</v>
      </c>
      <c r="C97" s="117" t="s">
        <v>198</v>
      </c>
      <c r="D97" s="118" t="s">
        <v>332</v>
      </c>
      <c r="E97" s="118" t="s">
        <v>333</v>
      </c>
      <c r="F97" s="118" t="s">
        <v>333</v>
      </c>
    </row>
    <row r="98" spans="2:6" ht="36">
      <c r="B98" s="116">
        <v>182</v>
      </c>
      <c r="C98" s="117" t="s">
        <v>198</v>
      </c>
      <c r="D98" s="118" t="s">
        <v>334</v>
      </c>
      <c r="E98" s="118" t="s">
        <v>335</v>
      </c>
      <c r="F98" s="118" t="s">
        <v>335</v>
      </c>
    </row>
    <row r="99" spans="2:6">
      <c r="B99" s="116">
        <v>183</v>
      </c>
      <c r="D99" s="118" t="s">
        <v>336</v>
      </c>
      <c r="E99" s="118" t="s">
        <v>337</v>
      </c>
      <c r="F99" s="118" t="s">
        <v>337</v>
      </c>
    </row>
    <row r="100" spans="2:6">
      <c r="B100" s="116">
        <v>184</v>
      </c>
      <c r="D100" s="118" t="s">
        <v>338</v>
      </c>
      <c r="E100" s="118" t="s">
        <v>339</v>
      </c>
      <c r="F100" s="118" t="s">
        <v>339</v>
      </c>
    </row>
    <row r="101" spans="2:6">
      <c r="B101" s="116">
        <v>185</v>
      </c>
      <c r="D101" s="118" t="s">
        <v>340</v>
      </c>
      <c r="E101" s="118" t="s">
        <v>341</v>
      </c>
      <c r="F101" s="118" t="s">
        <v>341</v>
      </c>
    </row>
    <row r="102" spans="2:6" ht="24">
      <c r="B102" s="116">
        <v>186</v>
      </c>
      <c r="D102" s="118" t="s">
        <v>342</v>
      </c>
      <c r="E102" s="118" t="s">
        <v>343</v>
      </c>
      <c r="F102" s="118" t="s">
        <v>343</v>
      </c>
    </row>
    <row r="103" spans="2:6" ht="24">
      <c r="B103" s="116">
        <v>187</v>
      </c>
      <c r="D103" s="118" t="s">
        <v>344</v>
      </c>
      <c r="E103" s="118" t="s">
        <v>345</v>
      </c>
      <c r="F103" s="118" t="s">
        <v>345</v>
      </c>
    </row>
    <row r="104" spans="2:6" ht="24">
      <c r="B104" s="116">
        <v>188</v>
      </c>
      <c r="D104" s="118" t="s">
        <v>346</v>
      </c>
      <c r="E104" s="118" t="s">
        <v>347</v>
      </c>
      <c r="F104" s="118" t="s">
        <v>347</v>
      </c>
    </row>
    <row r="105" spans="2:6">
      <c r="B105" s="116">
        <v>189</v>
      </c>
      <c r="D105" s="118" t="s">
        <v>348</v>
      </c>
      <c r="E105" s="118" t="s">
        <v>349</v>
      </c>
      <c r="F105" s="118" t="s">
        <v>349</v>
      </c>
    </row>
    <row r="106" spans="2:6">
      <c r="B106" s="116">
        <v>190</v>
      </c>
      <c r="C106" s="117" t="s">
        <v>198</v>
      </c>
      <c r="D106" s="118" t="s">
        <v>350</v>
      </c>
      <c r="E106" s="118" t="s">
        <v>351</v>
      </c>
      <c r="F106" s="118" t="s">
        <v>351</v>
      </c>
    </row>
    <row r="107" spans="2:6">
      <c r="B107" s="116">
        <v>191</v>
      </c>
      <c r="D107" s="118" t="s">
        <v>352</v>
      </c>
      <c r="E107" s="118" t="s">
        <v>353</v>
      </c>
      <c r="F107" s="118" t="s">
        <v>353</v>
      </c>
    </row>
    <row r="108" spans="2:6">
      <c r="B108" s="116">
        <v>192</v>
      </c>
      <c r="D108" s="118" t="s">
        <v>354</v>
      </c>
      <c r="E108" s="118" t="s">
        <v>355</v>
      </c>
      <c r="F108" s="118" t="s">
        <v>355</v>
      </c>
    </row>
    <row r="109" spans="2:6">
      <c r="B109" s="116">
        <v>193</v>
      </c>
      <c r="D109" s="118" t="s">
        <v>356</v>
      </c>
      <c r="E109" s="118" t="s">
        <v>357</v>
      </c>
      <c r="F109" s="118" t="s">
        <v>357</v>
      </c>
    </row>
    <row r="110" spans="2:6">
      <c r="B110" s="116">
        <v>194</v>
      </c>
      <c r="D110" s="118" t="s">
        <v>358</v>
      </c>
      <c r="E110" s="118" t="s">
        <v>359</v>
      </c>
      <c r="F110" s="118" t="s">
        <v>359</v>
      </c>
    </row>
    <row r="111" spans="2:6">
      <c r="B111" s="116">
        <v>195</v>
      </c>
      <c r="D111" s="118" t="s">
        <v>360</v>
      </c>
      <c r="E111" s="118" t="s">
        <v>361</v>
      </c>
      <c r="F111" s="118" t="s">
        <v>361</v>
      </c>
    </row>
    <row r="112" spans="2:6">
      <c r="B112" s="116">
        <v>196</v>
      </c>
      <c r="D112" s="118" t="s">
        <v>362</v>
      </c>
      <c r="E112" s="118" t="s">
        <v>363</v>
      </c>
      <c r="F112" s="118" t="s">
        <v>363</v>
      </c>
    </row>
    <row r="113" spans="2:6" ht="24">
      <c r="B113" s="116">
        <v>197</v>
      </c>
      <c r="D113" s="118" t="s">
        <v>364</v>
      </c>
      <c r="E113" s="118" t="s">
        <v>365</v>
      </c>
      <c r="F113" s="118" t="s">
        <v>365</v>
      </c>
    </row>
    <row r="114" spans="2:6" ht="24">
      <c r="B114" s="116">
        <v>198</v>
      </c>
      <c r="D114" s="118" t="s">
        <v>366</v>
      </c>
      <c r="E114" s="118" t="s">
        <v>367</v>
      </c>
      <c r="F114" s="118" t="s">
        <v>367</v>
      </c>
    </row>
    <row r="115" spans="2:6">
      <c r="B115" s="116">
        <v>199</v>
      </c>
      <c r="D115" s="118" t="s">
        <v>368</v>
      </c>
      <c r="E115" s="118" t="s">
        <v>369</v>
      </c>
      <c r="F115" s="118" t="s">
        <v>369</v>
      </c>
    </row>
    <row r="116" spans="2:6">
      <c r="B116" s="116">
        <v>200</v>
      </c>
      <c r="D116" s="118" t="s">
        <v>370</v>
      </c>
      <c r="E116" s="118" t="s">
        <v>371</v>
      </c>
      <c r="F116" s="118" t="s">
        <v>371</v>
      </c>
    </row>
    <row r="117" spans="2:6">
      <c r="B117" s="116">
        <v>201</v>
      </c>
      <c r="D117" s="118" t="s">
        <v>372</v>
      </c>
      <c r="E117" s="118" t="s">
        <v>373</v>
      </c>
      <c r="F117" s="118" t="s">
        <v>373</v>
      </c>
    </row>
    <row r="118" spans="2:6">
      <c r="B118" s="116">
        <v>202</v>
      </c>
      <c r="D118" s="118" t="s">
        <v>374</v>
      </c>
      <c r="E118" s="118" t="s">
        <v>375</v>
      </c>
      <c r="F118" s="118" t="s">
        <v>375</v>
      </c>
    </row>
    <row r="119" spans="2:6">
      <c r="B119" s="116">
        <v>203</v>
      </c>
      <c r="D119" s="118" t="s">
        <v>376</v>
      </c>
      <c r="E119" s="118" t="s">
        <v>377</v>
      </c>
      <c r="F119" s="118" t="s">
        <v>377</v>
      </c>
    </row>
    <row r="120" spans="2:6">
      <c r="B120" s="116">
        <v>204</v>
      </c>
      <c r="D120" s="118" t="s">
        <v>378</v>
      </c>
      <c r="E120" s="118" t="s">
        <v>379</v>
      </c>
      <c r="F120" s="118" t="s">
        <v>379</v>
      </c>
    </row>
    <row r="121" spans="2:6">
      <c r="B121" s="116">
        <v>205</v>
      </c>
      <c r="D121" s="118" t="s">
        <v>380</v>
      </c>
      <c r="E121" s="118" t="s">
        <v>381</v>
      </c>
      <c r="F121" s="118" t="s">
        <v>381</v>
      </c>
    </row>
    <row r="122" spans="2:6">
      <c r="B122" s="116">
        <v>206</v>
      </c>
      <c r="D122" s="118" t="s">
        <v>382</v>
      </c>
      <c r="E122" s="118" t="s">
        <v>383</v>
      </c>
      <c r="F122" s="118" t="s">
        <v>383</v>
      </c>
    </row>
    <row r="123" spans="2:6">
      <c r="B123" s="116">
        <v>207</v>
      </c>
      <c r="D123" s="118" t="s">
        <v>384</v>
      </c>
      <c r="E123" s="118" t="s">
        <v>385</v>
      </c>
      <c r="F123" s="118" t="s">
        <v>385</v>
      </c>
    </row>
    <row r="124" spans="2:6" ht="24">
      <c r="B124" s="116">
        <v>208</v>
      </c>
      <c r="D124" s="118" t="s">
        <v>386</v>
      </c>
      <c r="E124" s="118" t="s">
        <v>387</v>
      </c>
      <c r="F124" s="118" t="s">
        <v>387</v>
      </c>
    </row>
    <row r="125" spans="2:6" ht="24">
      <c r="B125" s="116">
        <v>209</v>
      </c>
      <c r="D125" s="118" t="s">
        <v>388</v>
      </c>
      <c r="E125" s="118" t="s">
        <v>389</v>
      </c>
      <c r="F125" s="118" t="s">
        <v>389</v>
      </c>
    </row>
    <row r="126" spans="2:6">
      <c r="B126" s="116">
        <v>210</v>
      </c>
      <c r="D126" s="118" t="s">
        <v>390</v>
      </c>
      <c r="E126" s="118" t="s">
        <v>391</v>
      </c>
      <c r="F126" s="118" t="s">
        <v>391</v>
      </c>
    </row>
    <row r="127" spans="2:6">
      <c r="B127" s="116">
        <v>211</v>
      </c>
      <c r="D127" s="118" t="s">
        <v>392</v>
      </c>
      <c r="E127" s="118" t="s">
        <v>392</v>
      </c>
      <c r="F127" s="118" t="s">
        <v>392</v>
      </c>
    </row>
    <row r="128" spans="2:6">
      <c r="B128" s="116">
        <v>212</v>
      </c>
      <c r="D128" s="118" t="s">
        <v>393</v>
      </c>
      <c r="E128" s="118" t="s">
        <v>394</v>
      </c>
      <c r="F128" s="118" t="s">
        <v>394</v>
      </c>
    </row>
    <row r="129" spans="2:6">
      <c r="B129" s="116">
        <v>213</v>
      </c>
      <c r="D129" s="118" t="s">
        <v>395</v>
      </c>
      <c r="E129" s="118" t="s">
        <v>396</v>
      </c>
      <c r="F129" s="118" t="s">
        <v>396</v>
      </c>
    </row>
    <row r="130" spans="2:6">
      <c r="B130" s="116">
        <v>214</v>
      </c>
      <c r="D130" s="118" t="s">
        <v>397</v>
      </c>
      <c r="E130" s="118" t="s">
        <v>398</v>
      </c>
      <c r="F130" s="118" t="s">
        <v>398</v>
      </c>
    </row>
    <row r="131" spans="2:6">
      <c r="B131" s="116">
        <v>215</v>
      </c>
      <c r="D131" s="118" t="s">
        <v>399</v>
      </c>
      <c r="E131" s="118" t="s">
        <v>400</v>
      </c>
      <c r="F131" s="118" t="s">
        <v>400</v>
      </c>
    </row>
    <row r="132" spans="2:6">
      <c r="B132" s="116">
        <v>216</v>
      </c>
      <c r="D132" s="118" t="s">
        <v>401</v>
      </c>
      <c r="E132" s="118" t="s">
        <v>402</v>
      </c>
      <c r="F132" s="118" t="s">
        <v>402</v>
      </c>
    </row>
    <row r="133" spans="2:6">
      <c r="B133" s="116">
        <v>217</v>
      </c>
      <c r="D133" s="118" t="s">
        <v>403</v>
      </c>
      <c r="E133" s="118" t="s">
        <v>404</v>
      </c>
      <c r="F133" s="118" t="s">
        <v>404</v>
      </c>
    </row>
    <row r="134" spans="2:6">
      <c r="B134" s="116">
        <v>218</v>
      </c>
      <c r="D134" s="118" t="s">
        <v>405</v>
      </c>
      <c r="E134" s="118" t="s">
        <v>406</v>
      </c>
      <c r="F134" s="118" t="s">
        <v>406</v>
      </c>
    </row>
    <row r="135" spans="2:6">
      <c r="B135" s="116">
        <v>219</v>
      </c>
      <c r="D135" s="118" t="s">
        <v>407</v>
      </c>
      <c r="E135" s="118" t="s">
        <v>408</v>
      </c>
      <c r="F135" s="118" t="s">
        <v>408</v>
      </c>
    </row>
    <row r="136" spans="2:6">
      <c r="B136" s="116">
        <v>220</v>
      </c>
      <c r="D136" s="118" t="s">
        <v>409</v>
      </c>
      <c r="E136" s="118" t="s">
        <v>410</v>
      </c>
      <c r="F136" s="118" t="s">
        <v>410</v>
      </c>
    </row>
    <row r="137" spans="2:6">
      <c r="B137" s="116">
        <v>221</v>
      </c>
      <c r="D137" s="118" t="s">
        <v>411</v>
      </c>
      <c r="E137" s="118" t="s">
        <v>412</v>
      </c>
      <c r="F137" s="118" t="s">
        <v>412</v>
      </c>
    </row>
    <row r="138" spans="2:6">
      <c r="B138" s="116">
        <v>222</v>
      </c>
      <c r="D138" s="118" t="s">
        <v>413</v>
      </c>
      <c r="E138" s="118" t="s">
        <v>414</v>
      </c>
      <c r="F138" s="118" t="s">
        <v>414</v>
      </c>
    </row>
    <row r="139" spans="2:6">
      <c r="B139" s="116">
        <v>223</v>
      </c>
      <c r="D139" s="118" t="s">
        <v>415</v>
      </c>
      <c r="E139" s="118" t="s">
        <v>416</v>
      </c>
      <c r="F139" s="118" t="s">
        <v>416</v>
      </c>
    </row>
    <row r="140" spans="2:6">
      <c r="B140" s="116">
        <v>224</v>
      </c>
      <c r="C140" s="117" t="s">
        <v>255</v>
      </c>
      <c r="D140" s="118" t="s">
        <v>417</v>
      </c>
      <c r="E140" s="118" t="s">
        <v>418</v>
      </c>
      <c r="F140" s="118" t="s">
        <v>418</v>
      </c>
    </row>
    <row r="141" spans="2:6">
      <c r="B141" s="116">
        <v>225</v>
      </c>
      <c r="D141" s="118" t="s">
        <v>419</v>
      </c>
      <c r="E141" s="118" t="s">
        <v>420</v>
      </c>
      <c r="F141" s="118" t="s">
        <v>420</v>
      </c>
    </row>
    <row r="142" spans="2:6">
      <c r="B142" s="116">
        <v>226</v>
      </c>
      <c r="D142" s="118" t="s">
        <v>421</v>
      </c>
      <c r="E142" s="118" t="s">
        <v>422</v>
      </c>
      <c r="F142" s="118" t="s">
        <v>422</v>
      </c>
    </row>
    <row r="143" spans="2:6">
      <c r="B143" s="116">
        <v>227</v>
      </c>
      <c r="D143" s="118" t="s">
        <v>423</v>
      </c>
      <c r="E143" s="118" t="s">
        <v>424</v>
      </c>
      <c r="F143" s="118" t="s">
        <v>424</v>
      </c>
    </row>
    <row r="144" spans="2:6">
      <c r="B144" s="116">
        <v>228</v>
      </c>
      <c r="D144" s="118" t="s">
        <v>425</v>
      </c>
      <c r="E144" s="118" t="s">
        <v>426</v>
      </c>
      <c r="F144" s="118" t="s">
        <v>426</v>
      </c>
    </row>
    <row r="145" spans="2:6">
      <c r="B145" s="116">
        <v>229</v>
      </c>
      <c r="D145" s="118" t="s">
        <v>427</v>
      </c>
      <c r="E145" s="118" t="s">
        <v>428</v>
      </c>
      <c r="F145" s="118" t="s">
        <v>428</v>
      </c>
    </row>
    <row r="146" spans="2:6">
      <c r="B146" s="116">
        <v>230</v>
      </c>
      <c r="D146" s="118" t="s">
        <v>429</v>
      </c>
      <c r="E146" s="118" t="s">
        <v>430</v>
      </c>
      <c r="F146" s="118" t="s">
        <v>430</v>
      </c>
    </row>
    <row r="147" spans="2:6">
      <c r="B147" s="116">
        <v>231</v>
      </c>
      <c r="D147" s="118" t="s">
        <v>431</v>
      </c>
      <c r="E147" s="118" t="s">
        <v>432</v>
      </c>
      <c r="F147" s="118" t="s">
        <v>432</v>
      </c>
    </row>
    <row r="148" spans="2:6">
      <c r="B148" s="116">
        <v>232</v>
      </c>
      <c r="D148" s="118" t="s">
        <v>433</v>
      </c>
      <c r="E148" s="118" t="s">
        <v>434</v>
      </c>
      <c r="F148" s="118" t="s">
        <v>434</v>
      </c>
    </row>
    <row r="149" spans="2:6">
      <c r="B149" s="116">
        <v>233</v>
      </c>
      <c r="D149" s="118" t="s">
        <v>435</v>
      </c>
      <c r="E149" s="118" t="s">
        <v>436</v>
      </c>
      <c r="F149" s="118" t="s">
        <v>436</v>
      </c>
    </row>
    <row r="150" spans="2:6">
      <c r="B150" s="116">
        <v>234</v>
      </c>
      <c r="D150" s="118" t="s">
        <v>437</v>
      </c>
      <c r="E150" s="118" t="s">
        <v>438</v>
      </c>
      <c r="F150" s="118" t="s">
        <v>438</v>
      </c>
    </row>
    <row r="151" spans="2:6">
      <c r="B151" s="116">
        <v>235</v>
      </c>
      <c r="D151" s="118" t="s">
        <v>439</v>
      </c>
      <c r="E151" s="118" t="s">
        <v>440</v>
      </c>
      <c r="F151" s="118" t="s">
        <v>440</v>
      </c>
    </row>
    <row r="152" spans="2:6">
      <c r="B152" s="116">
        <v>236</v>
      </c>
      <c r="D152" s="118" t="s">
        <v>441</v>
      </c>
      <c r="E152" s="118" t="s">
        <v>442</v>
      </c>
      <c r="F152" s="118" t="s">
        <v>442</v>
      </c>
    </row>
    <row r="153" spans="2:6">
      <c r="B153" s="116">
        <v>237</v>
      </c>
      <c r="D153" s="118" t="s">
        <v>443</v>
      </c>
      <c r="E153" s="118" t="s">
        <v>444</v>
      </c>
      <c r="F153" s="118" t="s">
        <v>444</v>
      </c>
    </row>
    <row r="154" spans="2:6">
      <c r="B154" s="116">
        <v>238</v>
      </c>
      <c r="D154" s="118" t="s">
        <v>445</v>
      </c>
      <c r="E154" s="118" t="s">
        <v>446</v>
      </c>
      <c r="F154" s="118" t="s">
        <v>446</v>
      </c>
    </row>
    <row r="155" spans="2:6">
      <c r="B155" s="116">
        <v>239</v>
      </c>
      <c r="D155" s="118" t="s">
        <v>447</v>
      </c>
      <c r="E155" s="118" t="s">
        <v>448</v>
      </c>
      <c r="F155" s="118" t="s">
        <v>448</v>
      </c>
    </row>
    <row r="156" spans="2:6">
      <c r="B156" s="116">
        <v>240</v>
      </c>
      <c r="D156" s="118" t="s">
        <v>449</v>
      </c>
      <c r="E156" s="118" t="s">
        <v>450</v>
      </c>
      <c r="F156" s="118" t="s">
        <v>450</v>
      </c>
    </row>
    <row r="157" spans="2:6">
      <c r="B157" s="116">
        <v>241</v>
      </c>
      <c r="D157" s="118" t="s">
        <v>451</v>
      </c>
      <c r="E157" s="118" t="s">
        <v>452</v>
      </c>
      <c r="F157" s="118" t="s">
        <v>452</v>
      </c>
    </row>
    <row r="158" spans="2:6">
      <c r="B158" s="116">
        <v>242</v>
      </c>
      <c r="D158" s="118" t="s">
        <v>453</v>
      </c>
      <c r="E158" s="118" t="s">
        <v>454</v>
      </c>
      <c r="F158" s="118" t="s">
        <v>454</v>
      </c>
    </row>
    <row r="159" spans="2:6">
      <c r="B159" s="116">
        <v>243</v>
      </c>
      <c r="D159" s="118" t="s">
        <v>455</v>
      </c>
      <c r="E159" s="118" t="s">
        <v>456</v>
      </c>
      <c r="F159" s="118" t="s">
        <v>456</v>
      </c>
    </row>
    <row r="160" spans="2:6">
      <c r="B160" s="116">
        <v>244</v>
      </c>
      <c r="D160" s="118" t="s">
        <v>457</v>
      </c>
      <c r="E160" s="118" t="s">
        <v>458</v>
      </c>
      <c r="F160" s="118" t="s">
        <v>458</v>
      </c>
    </row>
    <row r="161" spans="2:6">
      <c r="B161" s="116">
        <v>245</v>
      </c>
      <c r="D161" s="118" t="s">
        <v>459</v>
      </c>
      <c r="E161" s="118" t="s">
        <v>460</v>
      </c>
      <c r="F161" s="118" t="s">
        <v>460</v>
      </c>
    </row>
    <row r="162" spans="2:6">
      <c r="B162" s="116">
        <v>246</v>
      </c>
      <c r="D162" s="118" t="s">
        <v>461</v>
      </c>
      <c r="E162" s="118" t="s">
        <v>462</v>
      </c>
      <c r="F162" s="118" t="s">
        <v>462</v>
      </c>
    </row>
    <row r="163" spans="2:6">
      <c r="B163" s="116">
        <v>247</v>
      </c>
      <c r="D163" s="118" t="s">
        <v>463</v>
      </c>
      <c r="E163" s="118" t="s">
        <v>464</v>
      </c>
      <c r="F163" s="118" t="s">
        <v>464</v>
      </c>
    </row>
    <row r="164" spans="2:6">
      <c r="B164" s="116">
        <v>248</v>
      </c>
      <c r="D164" s="118" t="s">
        <v>465</v>
      </c>
      <c r="E164" s="118" t="s">
        <v>466</v>
      </c>
      <c r="F164" s="118" t="s">
        <v>466</v>
      </c>
    </row>
    <row r="165" spans="2:6">
      <c r="B165" s="116">
        <v>249</v>
      </c>
      <c r="D165" s="118" t="s">
        <v>467</v>
      </c>
      <c r="E165" s="118" t="s">
        <v>468</v>
      </c>
      <c r="F165" s="118" t="s">
        <v>468</v>
      </c>
    </row>
    <row r="166" spans="2:6">
      <c r="B166" s="116">
        <v>250</v>
      </c>
      <c r="D166" s="118" t="s">
        <v>469</v>
      </c>
      <c r="E166" s="118" t="s">
        <v>470</v>
      </c>
      <c r="F166" s="118" t="s">
        <v>470</v>
      </c>
    </row>
    <row r="167" spans="2:6">
      <c r="B167" s="116">
        <v>251</v>
      </c>
      <c r="D167" s="118" t="s">
        <v>471</v>
      </c>
      <c r="E167" s="118" t="s">
        <v>472</v>
      </c>
      <c r="F167" s="118" t="s">
        <v>472</v>
      </c>
    </row>
    <row r="168" spans="2:6">
      <c r="B168" s="116">
        <v>252</v>
      </c>
      <c r="D168" s="118" t="s">
        <v>473</v>
      </c>
      <c r="E168" s="118" t="s">
        <v>474</v>
      </c>
      <c r="F168" s="118" t="s">
        <v>474</v>
      </c>
    </row>
    <row r="169" spans="2:6">
      <c r="B169" s="116">
        <v>253</v>
      </c>
      <c r="D169" s="118" t="s">
        <v>475</v>
      </c>
      <c r="E169" s="118" t="s">
        <v>476</v>
      </c>
      <c r="F169" s="118" t="s">
        <v>476</v>
      </c>
    </row>
    <row r="170" spans="2:6">
      <c r="B170" s="116">
        <v>254</v>
      </c>
      <c r="D170" s="118" t="s">
        <v>477</v>
      </c>
      <c r="E170" s="118" t="s">
        <v>478</v>
      </c>
      <c r="F170" s="118" t="s">
        <v>478</v>
      </c>
    </row>
    <row r="171" spans="2:6">
      <c r="B171" s="116">
        <v>255</v>
      </c>
      <c r="C171" s="117" t="s">
        <v>255</v>
      </c>
      <c r="D171" s="118" t="s">
        <v>479</v>
      </c>
      <c r="E171" s="118" t="s">
        <v>480</v>
      </c>
      <c r="F171" s="118" t="s">
        <v>480</v>
      </c>
    </row>
    <row r="172" spans="2:6">
      <c r="B172" s="116">
        <v>256</v>
      </c>
      <c r="D172" s="118" t="s">
        <v>481</v>
      </c>
      <c r="E172" s="118" t="s">
        <v>482</v>
      </c>
      <c r="F172" s="118" t="s">
        <v>482</v>
      </c>
    </row>
    <row r="173" spans="2:6">
      <c r="B173" s="116">
        <v>257</v>
      </c>
      <c r="D173" s="118" t="s">
        <v>483</v>
      </c>
      <c r="E173" s="118" t="s">
        <v>484</v>
      </c>
      <c r="F173" s="118" t="s">
        <v>484</v>
      </c>
    </row>
    <row r="174" spans="2:6">
      <c r="B174" s="116">
        <v>258</v>
      </c>
      <c r="D174" s="118" t="s">
        <v>485</v>
      </c>
      <c r="E174" s="118" t="s">
        <v>486</v>
      </c>
      <c r="F174" s="118" t="s">
        <v>486</v>
      </c>
    </row>
    <row r="175" spans="2:6">
      <c r="B175" s="116">
        <v>259</v>
      </c>
      <c r="D175" s="118" t="s">
        <v>487</v>
      </c>
      <c r="E175" s="118" t="s">
        <v>488</v>
      </c>
      <c r="F175" s="118" t="s">
        <v>488</v>
      </c>
    </row>
    <row r="176" spans="2:6">
      <c r="B176" s="116">
        <v>260</v>
      </c>
      <c r="D176" s="118" t="s">
        <v>489</v>
      </c>
      <c r="E176" s="118" t="s">
        <v>490</v>
      </c>
      <c r="F176" s="118" t="s">
        <v>490</v>
      </c>
    </row>
    <row r="177" spans="2:6">
      <c r="B177" s="116">
        <v>261</v>
      </c>
      <c r="D177" s="118" t="s">
        <v>491</v>
      </c>
      <c r="E177" s="118" t="s">
        <v>492</v>
      </c>
      <c r="F177" s="118" t="s">
        <v>492</v>
      </c>
    </row>
    <row r="178" spans="2:6" ht="24">
      <c r="B178" s="116">
        <v>262</v>
      </c>
      <c r="D178" s="118" t="s">
        <v>493</v>
      </c>
      <c r="E178" s="118" t="s">
        <v>494</v>
      </c>
      <c r="F178" s="118" t="s">
        <v>494</v>
      </c>
    </row>
    <row r="179" spans="2:6" ht="24">
      <c r="B179" s="116">
        <v>263</v>
      </c>
      <c r="D179" s="118" t="s">
        <v>495</v>
      </c>
      <c r="E179" s="118" t="s">
        <v>496</v>
      </c>
      <c r="F179" s="118" t="s">
        <v>496</v>
      </c>
    </row>
    <row r="180" spans="2:6">
      <c r="B180" s="116">
        <v>264</v>
      </c>
      <c r="D180" s="118" t="s">
        <v>497</v>
      </c>
      <c r="E180" s="118" t="s">
        <v>498</v>
      </c>
      <c r="F180" s="118" t="s">
        <v>498</v>
      </c>
    </row>
    <row r="181" spans="2:6">
      <c r="B181" s="116">
        <v>265</v>
      </c>
      <c r="D181" s="118" t="s">
        <v>499</v>
      </c>
      <c r="E181" s="118" t="s">
        <v>500</v>
      </c>
      <c r="F181" s="118" t="s">
        <v>500</v>
      </c>
    </row>
    <row r="182" spans="2:6">
      <c r="B182" s="116">
        <v>266</v>
      </c>
      <c r="D182" s="118" t="s">
        <v>501</v>
      </c>
      <c r="E182" s="118" t="s">
        <v>502</v>
      </c>
      <c r="F182" s="118" t="s">
        <v>502</v>
      </c>
    </row>
    <row r="183" spans="2:6">
      <c r="B183" s="116">
        <v>267</v>
      </c>
      <c r="D183" s="118" t="s">
        <v>503</v>
      </c>
      <c r="E183" s="118" t="s">
        <v>504</v>
      </c>
      <c r="F183" s="118" t="s">
        <v>504</v>
      </c>
    </row>
    <row r="184" spans="2:6">
      <c r="B184" s="116">
        <v>268</v>
      </c>
      <c r="D184" s="118" t="s">
        <v>505</v>
      </c>
      <c r="E184" s="118" t="s">
        <v>506</v>
      </c>
      <c r="F184" s="118" t="s">
        <v>506</v>
      </c>
    </row>
    <row r="185" spans="2:6">
      <c r="B185" s="116">
        <v>269</v>
      </c>
      <c r="D185" s="118" t="s">
        <v>507</v>
      </c>
      <c r="E185" s="118" t="s">
        <v>508</v>
      </c>
      <c r="F185" s="118" t="s">
        <v>508</v>
      </c>
    </row>
    <row r="186" spans="2:6">
      <c r="B186" s="116">
        <v>270</v>
      </c>
      <c r="D186" s="118" t="s">
        <v>509</v>
      </c>
      <c r="E186" s="118" t="s">
        <v>510</v>
      </c>
      <c r="F186" s="118" t="s">
        <v>510</v>
      </c>
    </row>
    <row r="187" spans="2:6" ht="24">
      <c r="B187" s="116">
        <v>271</v>
      </c>
      <c r="D187" s="118" t="s">
        <v>511</v>
      </c>
      <c r="E187" s="118" t="s">
        <v>512</v>
      </c>
      <c r="F187" s="118" t="s">
        <v>512</v>
      </c>
    </row>
    <row r="188" spans="2:6" ht="36">
      <c r="B188" s="116">
        <v>272</v>
      </c>
      <c r="D188" s="118" t="s">
        <v>513</v>
      </c>
      <c r="E188" s="118" t="s">
        <v>514</v>
      </c>
      <c r="F188" s="118" t="s">
        <v>514</v>
      </c>
    </row>
    <row r="189" spans="2:6">
      <c r="B189" s="116">
        <v>273</v>
      </c>
      <c r="D189" s="118" t="s">
        <v>515</v>
      </c>
      <c r="E189" s="118" t="s">
        <v>516</v>
      </c>
      <c r="F189" s="118" t="s">
        <v>516</v>
      </c>
    </row>
    <row r="190" spans="2:6">
      <c r="B190" s="116">
        <v>274</v>
      </c>
      <c r="D190" s="118" t="s">
        <v>517</v>
      </c>
      <c r="E190" s="118" t="s">
        <v>518</v>
      </c>
      <c r="F190" s="118" t="s">
        <v>518</v>
      </c>
    </row>
    <row r="191" spans="2:6">
      <c r="B191" s="116">
        <v>275</v>
      </c>
      <c r="D191" s="118" t="s">
        <v>519</v>
      </c>
      <c r="E191" s="118" t="s">
        <v>520</v>
      </c>
      <c r="F191" s="118" t="s">
        <v>520</v>
      </c>
    </row>
    <row r="192" spans="2:6">
      <c r="B192" s="116">
        <v>276</v>
      </c>
      <c r="D192" s="118" t="s">
        <v>521</v>
      </c>
      <c r="E192" s="118" t="s">
        <v>522</v>
      </c>
      <c r="F192" s="118" t="s">
        <v>522</v>
      </c>
    </row>
    <row r="193" spans="2:6">
      <c r="B193" s="116">
        <v>277</v>
      </c>
      <c r="D193" s="118" t="s">
        <v>523</v>
      </c>
      <c r="E193" s="118" t="s">
        <v>524</v>
      </c>
      <c r="F193" s="118" t="s">
        <v>524</v>
      </c>
    </row>
    <row r="194" spans="2:6">
      <c r="B194" s="116">
        <v>278</v>
      </c>
      <c r="D194" s="118" t="s">
        <v>525</v>
      </c>
      <c r="E194" s="118" t="s">
        <v>526</v>
      </c>
      <c r="F194" s="118" t="s">
        <v>526</v>
      </c>
    </row>
    <row r="195" spans="2:6">
      <c r="B195" s="116">
        <v>279</v>
      </c>
      <c r="D195" s="118" t="s">
        <v>527</v>
      </c>
      <c r="E195" s="118" t="s">
        <v>528</v>
      </c>
      <c r="F195" s="118" t="s">
        <v>528</v>
      </c>
    </row>
    <row r="196" spans="2:6">
      <c r="B196" s="116">
        <v>280</v>
      </c>
      <c r="D196" s="118" t="s">
        <v>529</v>
      </c>
      <c r="E196" s="118" t="s">
        <v>530</v>
      </c>
      <c r="F196" s="118" t="s">
        <v>530</v>
      </c>
    </row>
    <row r="197" spans="2:6">
      <c r="B197" s="116">
        <v>281</v>
      </c>
      <c r="D197" s="118" t="s">
        <v>531</v>
      </c>
      <c r="E197" s="118" t="s">
        <v>532</v>
      </c>
      <c r="F197" s="118" t="s">
        <v>532</v>
      </c>
    </row>
    <row r="198" spans="2:6">
      <c r="B198" s="116">
        <v>282</v>
      </c>
      <c r="D198" s="118" t="s">
        <v>533</v>
      </c>
      <c r="E198" s="118" t="s">
        <v>534</v>
      </c>
      <c r="F198" s="118" t="s">
        <v>534</v>
      </c>
    </row>
    <row r="199" spans="2:6">
      <c r="B199" s="116">
        <v>283</v>
      </c>
      <c r="D199" s="118" t="s">
        <v>535</v>
      </c>
      <c r="E199" s="118" t="s">
        <v>536</v>
      </c>
      <c r="F199" s="118" t="s">
        <v>536</v>
      </c>
    </row>
    <row r="200" spans="2:6" ht="24">
      <c r="B200" s="116">
        <v>284</v>
      </c>
      <c r="D200" s="118" t="s">
        <v>537</v>
      </c>
      <c r="E200" s="118" t="s">
        <v>538</v>
      </c>
      <c r="F200" s="118" t="s">
        <v>538</v>
      </c>
    </row>
    <row r="201" spans="2:6">
      <c r="B201" s="116">
        <v>285</v>
      </c>
      <c r="D201" s="118" t="s">
        <v>539</v>
      </c>
      <c r="E201" s="118" t="s">
        <v>540</v>
      </c>
      <c r="F201" s="118" t="s">
        <v>540</v>
      </c>
    </row>
    <row r="202" spans="2:6">
      <c r="B202" s="116">
        <v>286</v>
      </c>
      <c r="D202" s="118" t="s">
        <v>541</v>
      </c>
      <c r="E202" s="118" t="s">
        <v>542</v>
      </c>
      <c r="F202" s="118" t="s">
        <v>542</v>
      </c>
    </row>
    <row r="203" spans="2:6">
      <c r="B203" s="116">
        <v>287</v>
      </c>
      <c r="D203" s="118" t="s">
        <v>543</v>
      </c>
      <c r="E203" s="118" t="s">
        <v>544</v>
      </c>
      <c r="F203" s="118" t="s">
        <v>544</v>
      </c>
    </row>
    <row r="204" spans="2:6">
      <c r="B204" s="116">
        <v>288</v>
      </c>
      <c r="D204" s="118" t="s">
        <v>545</v>
      </c>
      <c r="E204" s="118" t="s">
        <v>546</v>
      </c>
      <c r="F204" s="118" t="s">
        <v>546</v>
      </c>
    </row>
    <row r="205" spans="2:6">
      <c r="B205" s="116">
        <v>289</v>
      </c>
      <c r="D205" s="118" t="s">
        <v>547</v>
      </c>
      <c r="E205" s="118" t="s">
        <v>548</v>
      </c>
      <c r="F205" s="118" t="s">
        <v>548</v>
      </c>
    </row>
    <row r="206" spans="2:6">
      <c r="B206" s="116">
        <v>290</v>
      </c>
      <c r="D206" s="118" t="s">
        <v>549</v>
      </c>
      <c r="E206" s="118" t="s">
        <v>550</v>
      </c>
      <c r="F206" s="118" t="s">
        <v>550</v>
      </c>
    </row>
    <row r="207" spans="2:6">
      <c r="B207" s="116">
        <v>291</v>
      </c>
      <c r="D207" s="118" t="s">
        <v>551</v>
      </c>
      <c r="E207" s="118" t="s">
        <v>552</v>
      </c>
      <c r="F207" s="118" t="s">
        <v>552</v>
      </c>
    </row>
    <row r="208" spans="2:6">
      <c r="B208" s="116">
        <v>292</v>
      </c>
      <c r="D208" s="118" t="s">
        <v>553</v>
      </c>
      <c r="E208" s="118" t="s">
        <v>554</v>
      </c>
      <c r="F208" s="118" t="s">
        <v>554</v>
      </c>
    </row>
    <row r="209" spans="2:6">
      <c r="B209" s="116">
        <v>293</v>
      </c>
      <c r="D209" s="118" t="s">
        <v>555</v>
      </c>
      <c r="E209" s="118" t="s">
        <v>556</v>
      </c>
      <c r="F209" s="118" t="s">
        <v>556</v>
      </c>
    </row>
    <row r="210" spans="2:6">
      <c r="B210" s="116">
        <v>294</v>
      </c>
      <c r="D210" s="118" t="s">
        <v>557</v>
      </c>
      <c r="E210" s="118" t="s">
        <v>558</v>
      </c>
      <c r="F210" s="118" t="s">
        <v>558</v>
      </c>
    </row>
    <row r="211" spans="2:6">
      <c r="B211" s="116">
        <v>295</v>
      </c>
      <c r="D211" s="118" t="s">
        <v>559</v>
      </c>
      <c r="E211" s="118" t="s">
        <v>560</v>
      </c>
      <c r="F211" s="118" t="s">
        <v>560</v>
      </c>
    </row>
    <row r="212" spans="2:6">
      <c r="B212" s="116">
        <v>296</v>
      </c>
      <c r="D212" s="118" t="s">
        <v>561</v>
      </c>
      <c r="E212" s="118" t="s">
        <v>562</v>
      </c>
      <c r="F212" s="118" t="s">
        <v>562</v>
      </c>
    </row>
    <row r="213" spans="2:6">
      <c r="B213" s="116">
        <v>297</v>
      </c>
      <c r="D213" s="118" t="s">
        <v>563</v>
      </c>
      <c r="E213" s="118" t="s">
        <v>564</v>
      </c>
      <c r="F213" s="118" t="s">
        <v>564</v>
      </c>
    </row>
    <row r="214" spans="2:6">
      <c r="B214" s="116">
        <v>298</v>
      </c>
      <c r="C214" s="117" t="s">
        <v>198</v>
      </c>
      <c r="D214" s="118" t="s">
        <v>565</v>
      </c>
      <c r="E214" s="118" t="s">
        <v>566</v>
      </c>
      <c r="F214" s="118" t="s">
        <v>566</v>
      </c>
    </row>
    <row r="215" spans="2:6">
      <c r="B215" s="116">
        <v>299</v>
      </c>
      <c r="D215" s="118" t="s">
        <v>567</v>
      </c>
      <c r="E215" s="118" t="s">
        <v>568</v>
      </c>
      <c r="F215" s="118" t="s">
        <v>568</v>
      </c>
    </row>
    <row r="216" spans="2:6">
      <c r="B216" s="116">
        <v>300</v>
      </c>
      <c r="D216" s="118" t="s">
        <v>569</v>
      </c>
      <c r="E216" s="118" t="s">
        <v>570</v>
      </c>
      <c r="F216" s="118" t="s">
        <v>570</v>
      </c>
    </row>
    <row r="217" spans="2:6">
      <c r="B217" s="116">
        <v>301</v>
      </c>
      <c r="D217" s="118" t="s">
        <v>571</v>
      </c>
      <c r="E217" s="118" t="s">
        <v>572</v>
      </c>
      <c r="F217" s="118" t="s">
        <v>572</v>
      </c>
    </row>
    <row r="218" spans="2:6">
      <c r="B218" s="116">
        <v>302</v>
      </c>
      <c r="C218" s="117" t="s">
        <v>198</v>
      </c>
      <c r="D218" s="123" t="s">
        <v>573</v>
      </c>
      <c r="E218" s="123" t="s">
        <v>574</v>
      </c>
      <c r="F218" s="123" t="s">
        <v>574</v>
      </c>
    </row>
    <row r="219" spans="2:6">
      <c r="B219" s="116">
        <v>303</v>
      </c>
      <c r="C219" s="117" t="s">
        <v>198</v>
      </c>
      <c r="D219" s="123" t="s">
        <v>575</v>
      </c>
      <c r="E219" s="123" t="s">
        <v>576</v>
      </c>
      <c r="F219" s="123" t="s">
        <v>576</v>
      </c>
    </row>
    <row r="220" spans="2:6">
      <c r="B220" s="116">
        <v>304</v>
      </c>
      <c r="C220" s="117" t="s">
        <v>198</v>
      </c>
      <c r="D220" s="123" t="s">
        <v>577</v>
      </c>
      <c r="E220" s="123" t="s">
        <v>578</v>
      </c>
      <c r="F220" s="123" t="s">
        <v>578</v>
      </c>
    </row>
    <row r="221" spans="2:6">
      <c r="B221" s="116">
        <v>305</v>
      </c>
      <c r="C221" s="117" t="s">
        <v>198</v>
      </c>
      <c r="D221" s="123" t="s">
        <v>579</v>
      </c>
      <c r="E221" s="123" t="s">
        <v>580</v>
      </c>
      <c r="F221" s="123" t="s">
        <v>580</v>
      </c>
    </row>
    <row r="222" spans="2:6">
      <c r="B222" s="116">
        <v>306</v>
      </c>
      <c r="C222" s="117" t="s">
        <v>198</v>
      </c>
      <c r="D222" s="123" t="s">
        <v>581</v>
      </c>
      <c r="E222" s="123" t="s">
        <v>582</v>
      </c>
      <c r="F222" s="123" t="s">
        <v>582</v>
      </c>
    </row>
    <row r="223" spans="2:6">
      <c r="B223" s="116">
        <v>307</v>
      </c>
      <c r="C223" s="117" t="s">
        <v>198</v>
      </c>
      <c r="D223" s="123" t="s">
        <v>583</v>
      </c>
      <c r="E223" s="123" t="s">
        <v>584</v>
      </c>
      <c r="F223" s="123" t="s">
        <v>584</v>
      </c>
    </row>
    <row r="224" spans="2:6">
      <c r="B224" s="116">
        <v>308</v>
      </c>
      <c r="C224" s="117" t="s">
        <v>198</v>
      </c>
      <c r="D224" s="123" t="s">
        <v>585</v>
      </c>
      <c r="E224" s="123" t="s">
        <v>586</v>
      </c>
      <c r="F224" s="123" t="s">
        <v>586</v>
      </c>
    </row>
    <row r="225" spans="2:6">
      <c r="B225" s="116">
        <v>309</v>
      </c>
      <c r="C225" s="117" t="s">
        <v>198</v>
      </c>
      <c r="D225" s="123" t="s">
        <v>587</v>
      </c>
      <c r="E225" s="123" t="s">
        <v>588</v>
      </c>
      <c r="F225" s="123" t="s">
        <v>588</v>
      </c>
    </row>
    <row r="226" spans="2:6">
      <c r="B226" s="116">
        <v>310</v>
      </c>
      <c r="C226" s="117" t="s">
        <v>198</v>
      </c>
      <c r="D226" s="123" t="s">
        <v>589</v>
      </c>
      <c r="E226" s="123" t="s">
        <v>590</v>
      </c>
      <c r="F226" s="123" t="s">
        <v>590</v>
      </c>
    </row>
    <row r="227" spans="2:6">
      <c r="B227" s="116">
        <v>311</v>
      </c>
      <c r="C227" s="117" t="s">
        <v>198</v>
      </c>
      <c r="D227" s="123" t="s">
        <v>591</v>
      </c>
      <c r="E227" s="123" t="s">
        <v>592</v>
      </c>
      <c r="F227" s="123" t="s">
        <v>592</v>
      </c>
    </row>
    <row r="228" spans="2:6">
      <c r="B228" s="116">
        <v>312</v>
      </c>
      <c r="C228" s="117" t="s">
        <v>198</v>
      </c>
      <c r="D228" s="123" t="s">
        <v>593</v>
      </c>
      <c r="E228" s="123" t="s">
        <v>594</v>
      </c>
      <c r="F228" s="123" t="s">
        <v>594</v>
      </c>
    </row>
    <row r="229" spans="2:6">
      <c r="B229" s="116">
        <v>313</v>
      </c>
      <c r="C229" s="117" t="s">
        <v>198</v>
      </c>
      <c r="D229" s="123" t="s">
        <v>595</v>
      </c>
      <c r="E229" s="123" t="s">
        <v>596</v>
      </c>
      <c r="F229" s="123" t="s">
        <v>596</v>
      </c>
    </row>
    <row r="230" spans="2:6">
      <c r="B230" s="116">
        <v>314</v>
      </c>
      <c r="C230" s="117" t="s">
        <v>198</v>
      </c>
      <c r="D230" s="123" t="s">
        <v>597</v>
      </c>
      <c r="E230" s="123" t="s">
        <v>598</v>
      </c>
      <c r="F230" s="123" t="s">
        <v>598</v>
      </c>
    </row>
    <row r="231" spans="2:6">
      <c r="B231" s="116">
        <v>315</v>
      </c>
      <c r="C231" s="117" t="s">
        <v>198</v>
      </c>
      <c r="D231" s="123" t="s">
        <v>599</v>
      </c>
      <c r="E231" s="118" t="s">
        <v>600</v>
      </c>
      <c r="F231" s="118" t="s">
        <v>600</v>
      </c>
    </row>
    <row r="232" spans="2:6">
      <c r="B232" s="116">
        <v>316</v>
      </c>
      <c r="C232" s="117" t="s">
        <v>198</v>
      </c>
      <c r="D232" s="123" t="s">
        <v>601</v>
      </c>
      <c r="E232" s="118" t="s">
        <v>602</v>
      </c>
      <c r="F232" s="118" t="s">
        <v>602</v>
      </c>
    </row>
    <row r="233" spans="2:6">
      <c r="B233" s="116">
        <v>317</v>
      </c>
      <c r="C233" s="117" t="s">
        <v>198</v>
      </c>
      <c r="D233" s="123" t="s">
        <v>603</v>
      </c>
      <c r="E233" s="118" t="s">
        <v>604</v>
      </c>
      <c r="F233" s="118" t="s">
        <v>604</v>
      </c>
    </row>
    <row r="234" spans="2:6">
      <c r="B234" s="116">
        <v>318</v>
      </c>
      <c r="C234" s="117" t="s">
        <v>198</v>
      </c>
      <c r="D234" s="123" t="s">
        <v>605</v>
      </c>
      <c r="E234" s="118" t="s">
        <v>606</v>
      </c>
      <c r="F234" s="118" t="s">
        <v>606</v>
      </c>
    </row>
    <row r="235" spans="2:6">
      <c r="B235" s="116">
        <v>319</v>
      </c>
      <c r="C235" s="117" t="s">
        <v>198</v>
      </c>
      <c r="D235" s="123" t="s">
        <v>607</v>
      </c>
      <c r="E235" s="123" t="s">
        <v>608</v>
      </c>
      <c r="F235" s="123" t="s">
        <v>608</v>
      </c>
    </row>
    <row r="236" spans="2:6">
      <c r="B236" s="116">
        <v>320</v>
      </c>
      <c r="C236" s="117" t="s">
        <v>198</v>
      </c>
      <c r="D236" s="123" t="s">
        <v>609</v>
      </c>
      <c r="E236" s="123" t="s">
        <v>610</v>
      </c>
      <c r="F236" s="123" t="s">
        <v>610</v>
      </c>
    </row>
    <row r="237" spans="2:6">
      <c r="B237" s="116">
        <v>321</v>
      </c>
      <c r="C237" s="117" t="s">
        <v>198</v>
      </c>
      <c r="D237" s="123" t="s">
        <v>611</v>
      </c>
      <c r="E237" s="123" t="s">
        <v>612</v>
      </c>
      <c r="F237" s="123" t="s">
        <v>612</v>
      </c>
    </row>
    <row r="238" spans="2:6">
      <c r="B238" s="116">
        <v>322</v>
      </c>
      <c r="C238" s="117" t="s">
        <v>198</v>
      </c>
      <c r="D238" s="123"/>
      <c r="E238" s="123"/>
      <c r="F238" s="123"/>
    </row>
    <row r="239" spans="2:6" ht="24">
      <c r="B239" s="116">
        <v>323</v>
      </c>
      <c r="D239" s="118" t="s">
        <v>613</v>
      </c>
      <c r="E239" s="118" t="s">
        <v>614</v>
      </c>
      <c r="F239" s="118" t="s">
        <v>614</v>
      </c>
    </row>
    <row r="240" spans="2:6" ht="24">
      <c r="B240" s="116">
        <v>324</v>
      </c>
      <c r="D240" s="118" t="s">
        <v>615</v>
      </c>
      <c r="E240" s="118" t="s">
        <v>616</v>
      </c>
      <c r="F240" s="118" t="s">
        <v>616</v>
      </c>
    </row>
    <row r="241" spans="2:6" ht="24">
      <c r="B241" s="116">
        <v>325</v>
      </c>
      <c r="D241" s="118" t="s">
        <v>617</v>
      </c>
      <c r="E241" s="118" t="s">
        <v>618</v>
      </c>
      <c r="F241" s="118" t="s">
        <v>618</v>
      </c>
    </row>
    <row r="242" spans="2:6" ht="24">
      <c r="B242" s="116">
        <v>326</v>
      </c>
      <c r="C242" s="117" t="s">
        <v>198</v>
      </c>
      <c r="D242" s="118" t="s">
        <v>619</v>
      </c>
      <c r="E242" s="118" t="s">
        <v>620</v>
      </c>
      <c r="F242" s="118" t="s">
        <v>620</v>
      </c>
    </row>
    <row r="243" spans="2:6">
      <c r="B243" s="116">
        <v>327</v>
      </c>
      <c r="D243" s="118" t="s">
        <v>621</v>
      </c>
      <c r="E243" s="118" t="s">
        <v>622</v>
      </c>
      <c r="F243" s="118" t="s">
        <v>622</v>
      </c>
    </row>
    <row r="244" spans="2:6">
      <c r="B244" s="116">
        <v>328</v>
      </c>
      <c r="C244" s="117" t="s">
        <v>255</v>
      </c>
      <c r="D244" s="118" t="s">
        <v>623</v>
      </c>
      <c r="E244" s="118" t="s">
        <v>624</v>
      </c>
      <c r="F244" s="118" t="s">
        <v>624</v>
      </c>
    </row>
    <row r="245" spans="2:6">
      <c r="B245" s="116">
        <v>329</v>
      </c>
      <c r="D245" s="118" t="s">
        <v>625</v>
      </c>
      <c r="E245" s="118" t="s">
        <v>626</v>
      </c>
      <c r="F245" s="118" t="s">
        <v>626</v>
      </c>
    </row>
    <row r="246" spans="2:6">
      <c r="B246" s="116">
        <v>330</v>
      </c>
      <c r="D246" s="118" t="s">
        <v>627</v>
      </c>
      <c r="E246" s="118" t="s">
        <v>628</v>
      </c>
      <c r="F246" s="118" t="s">
        <v>628</v>
      </c>
    </row>
    <row r="247" spans="2:6">
      <c r="B247" s="116">
        <v>331</v>
      </c>
      <c r="D247" s="118" t="s">
        <v>629</v>
      </c>
      <c r="E247" s="118" t="s">
        <v>630</v>
      </c>
      <c r="F247" s="118" t="s">
        <v>630</v>
      </c>
    </row>
    <row r="248" spans="2:6">
      <c r="B248" s="116">
        <v>332</v>
      </c>
      <c r="C248" s="117" t="s">
        <v>255</v>
      </c>
      <c r="D248" s="115" t="s">
        <v>631</v>
      </c>
      <c r="E248" s="123" t="s">
        <v>632</v>
      </c>
      <c r="F248" s="123" t="s">
        <v>632</v>
      </c>
    </row>
    <row r="249" spans="2:6">
      <c r="B249" s="116">
        <v>333</v>
      </c>
      <c r="C249" s="117" t="s">
        <v>255</v>
      </c>
      <c r="D249" s="115" t="s">
        <v>633</v>
      </c>
      <c r="E249" s="123" t="s">
        <v>634</v>
      </c>
      <c r="F249" s="123" t="s">
        <v>634</v>
      </c>
    </row>
    <row r="250" spans="2:6">
      <c r="B250" s="116">
        <v>334</v>
      </c>
      <c r="D250" s="118" t="s">
        <v>635</v>
      </c>
      <c r="E250" s="118" t="s">
        <v>636</v>
      </c>
      <c r="F250" s="118" t="s">
        <v>636</v>
      </c>
    </row>
    <row r="251" spans="2:6">
      <c r="B251" s="116">
        <v>335</v>
      </c>
      <c r="C251" s="117" t="s">
        <v>255</v>
      </c>
      <c r="D251" s="118" t="s">
        <v>637</v>
      </c>
      <c r="E251" s="118" t="s">
        <v>638</v>
      </c>
      <c r="F251" s="118" t="s">
        <v>638</v>
      </c>
    </row>
    <row r="252" spans="2:6">
      <c r="B252" s="116">
        <v>336</v>
      </c>
      <c r="C252" s="117" t="s">
        <v>255</v>
      </c>
      <c r="D252" s="115" t="s">
        <v>639</v>
      </c>
      <c r="E252" s="123" t="s">
        <v>640</v>
      </c>
      <c r="F252" s="123" t="s">
        <v>640</v>
      </c>
    </row>
    <row r="253" spans="2:6" ht="24">
      <c r="B253" s="116">
        <v>337</v>
      </c>
      <c r="D253" s="118" t="s">
        <v>641</v>
      </c>
      <c r="E253" s="118" t="s">
        <v>642</v>
      </c>
      <c r="F253" s="118" t="s">
        <v>642</v>
      </c>
    </row>
    <row r="254" spans="2:6" ht="24">
      <c r="B254" s="116">
        <v>338</v>
      </c>
      <c r="D254" s="118" t="s">
        <v>643</v>
      </c>
      <c r="E254" s="118" t="s">
        <v>644</v>
      </c>
      <c r="F254" s="118" t="s">
        <v>644</v>
      </c>
    </row>
    <row r="255" spans="2:6">
      <c r="B255" s="116">
        <v>339</v>
      </c>
      <c r="D255" s="118" t="s">
        <v>645</v>
      </c>
      <c r="E255" s="118" t="s">
        <v>646</v>
      </c>
      <c r="F255" s="118" t="s">
        <v>646</v>
      </c>
    </row>
    <row r="256" spans="2:6">
      <c r="B256" s="116">
        <v>340</v>
      </c>
      <c r="D256" s="118" t="s">
        <v>647</v>
      </c>
      <c r="E256" s="118" t="s">
        <v>648</v>
      </c>
      <c r="F256" s="118" t="s">
        <v>648</v>
      </c>
    </row>
    <row r="257" spans="2:6">
      <c r="B257" s="116">
        <v>341</v>
      </c>
      <c r="D257" s="118" t="s">
        <v>649</v>
      </c>
      <c r="E257" s="118" t="s">
        <v>650</v>
      </c>
      <c r="F257" s="118" t="s">
        <v>650</v>
      </c>
    </row>
    <row r="258" spans="2:6">
      <c r="B258" s="116">
        <v>342</v>
      </c>
      <c r="D258" s="118" t="s">
        <v>651</v>
      </c>
      <c r="E258" s="118" t="s">
        <v>652</v>
      </c>
      <c r="F258" s="118" t="s">
        <v>652</v>
      </c>
    </row>
    <row r="259" spans="2:6">
      <c r="B259" s="116">
        <v>343</v>
      </c>
      <c r="C259" s="117" t="s">
        <v>198</v>
      </c>
      <c r="D259" s="118" t="s">
        <v>653</v>
      </c>
      <c r="E259" s="118" t="s">
        <v>654</v>
      </c>
      <c r="F259" s="118" t="s">
        <v>654</v>
      </c>
    </row>
    <row r="260" spans="2:6">
      <c r="B260" s="116">
        <v>344</v>
      </c>
      <c r="C260" s="117" t="s">
        <v>198</v>
      </c>
      <c r="D260" s="118" t="s">
        <v>655</v>
      </c>
      <c r="E260" s="118" t="s">
        <v>656</v>
      </c>
      <c r="F260" s="118" t="s">
        <v>656</v>
      </c>
    </row>
    <row r="261" spans="2:6">
      <c r="B261" s="116">
        <v>345</v>
      </c>
      <c r="D261" s="118" t="s">
        <v>657</v>
      </c>
      <c r="E261" s="118" t="s">
        <v>658</v>
      </c>
      <c r="F261" s="118" t="s">
        <v>658</v>
      </c>
    </row>
    <row r="262" spans="2:6" ht="24">
      <c r="B262" s="116">
        <v>346</v>
      </c>
      <c r="C262" s="117" t="s">
        <v>198</v>
      </c>
      <c r="D262" s="118" t="s">
        <v>659</v>
      </c>
      <c r="E262" s="118" t="s">
        <v>660</v>
      </c>
      <c r="F262" s="118" t="s">
        <v>660</v>
      </c>
    </row>
    <row r="263" spans="2:6">
      <c r="B263" s="116">
        <v>347</v>
      </c>
      <c r="D263" s="118" t="s">
        <v>661</v>
      </c>
      <c r="E263" s="118" t="s">
        <v>662</v>
      </c>
      <c r="F263" s="118" t="s">
        <v>662</v>
      </c>
    </row>
    <row r="264" spans="2:6">
      <c r="B264" s="116">
        <v>348</v>
      </c>
      <c r="D264" s="118" t="s">
        <v>663</v>
      </c>
      <c r="E264" s="118" t="s">
        <v>664</v>
      </c>
      <c r="F264" s="118" t="s">
        <v>664</v>
      </c>
    </row>
    <row r="265" spans="2:6">
      <c r="B265" s="116">
        <v>349</v>
      </c>
      <c r="D265" s="118" t="s">
        <v>665</v>
      </c>
      <c r="E265" s="118" t="s">
        <v>666</v>
      </c>
      <c r="F265" s="118" t="s">
        <v>666</v>
      </c>
    </row>
    <row r="266" spans="2:6">
      <c r="B266" s="116">
        <v>350</v>
      </c>
      <c r="C266" s="117" t="s">
        <v>198</v>
      </c>
      <c r="D266" s="118" t="s">
        <v>667</v>
      </c>
      <c r="E266" s="118" t="s">
        <v>668</v>
      </c>
      <c r="F266" s="118" t="s">
        <v>668</v>
      </c>
    </row>
    <row r="267" spans="2:6">
      <c r="B267" s="116">
        <v>351</v>
      </c>
      <c r="C267" s="117" t="s">
        <v>255</v>
      </c>
      <c r="D267" s="115" t="s">
        <v>669</v>
      </c>
      <c r="E267" s="123" t="s">
        <v>670</v>
      </c>
      <c r="F267" s="123" t="s">
        <v>670</v>
      </c>
    </row>
    <row r="268" spans="2:6" ht="24">
      <c r="B268" s="116">
        <v>352</v>
      </c>
      <c r="C268" s="117" t="s">
        <v>198</v>
      </c>
      <c r="D268" s="118" t="s">
        <v>671</v>
      </c>
      <c r="E268" s="118" t="s">
        <v>672</v>
      </c>
      <c r="F268" s="118" t="s">
        <v>672</v>
      </c>
    </row>
    <row r="269" spans="2:6" ht="24">
      <c r="B269" s="116">
        <v>353</v>
      </c>
      <c r="D269" s="118" t="s">
        <v>673</v>
      </c>
      <c r="F269" s="118"/>
    </row>
    <row r="270" spans="2:6">
      <c r="B270" s="116">
        <v>354</v>
      </c>
      <c r="D270" s="118" t="s">
        <v>674</v>
      </c>
      <c r="E270" s="118" t="s">
        <v>675</v>
      </c>
      <c r="F270" s="118" t="s">
        <v>675</v>
      </c>
    </row>
    <row r="271" spans="2:6">
      <c r="B271" s="116">
        <v>355</v>
      </c>
      <c r="D271" s="118" t="s">
        <v>676</v>
      </c>
      <c r="E271" s="118" t="s">
        <v>677</v>
      </c>
      <c r="F271" s="118" t="s">
        <v>677</v>
      </c>
    </row>
    <row r="272" spans="2:6">
      <c r="B272" s="116">
        <v>356</v>
      </c>
      <c r="D272" s="118" t="s">
        <v>678</v>
      </c>
      <c r="E272" s="118" t="s">
        <v>679</v>
      </c>
      <c r="F272" s="118" t="s">
        <v>679</v>
      </c>
    </row>
    <row r="273" spans="2:6">
      <c r="B273" s="116">
        <v>357</v>
      </c>
      <c r="C273" s="117" t="s">
        <v>198</v>
      </c>
      <c r="D273" s="118" t="s">
        <v>680</v>
      </c>
      <c r="E273" s="118" t="s">
        <v>681</v>
      </c>
      <c r="F273" s="118" t="s">
        <v>681</v>
      </c>
    </row>
    <row r="274" spans="2:6">
      <c r="B274" s="116">
        <v>358</v>
      </c>
      <c r="D274" s="118" t="s">
        <v>682</v>
      </c>
      <c r="E274" s="118" t="s">
        <v>683</v>
      </c>
      <c r="F274" s="118" t="s">
        <v>683</v>
      </c>
    </row>
    <row r="275" spans="2:6">
      <c r="B275" s="116">
        <v>359</v>
      </c>
      <c r="D275" s="118" t="s">
        <v>684</v>
      </c>
      <c r="E275" s="118" t="s">
        <v>685</v>
      </c>
      <c r="F275" s="118" t="s">
        <v>685</v>
      </c>
    </row>
    <row r="276" spans="2:6">
      <c r="B276" s="116">
        <v>360</v>
      </c>
      <c r="D276" s="118" t="s">
        <v>686</v>
      </c>
      <c r="E276" s="118" t="s">
        <v>687</v>
      </c>
      <c r="F276" s="118" t="s">
        <v>687</v>
      </c>
    </row>
    <row r="277" spans="2:6" ht="24">
      <c r="B277" s="116">
        <v>361</v>
      </c>
      <c r="C277" s="117" t="s">
        <v>198</v>
      </c>
      <c r="D277" s="118" t="s">
        <v>688</v>
      </c>
      <c r="E277" s="118" t="s">
        <v>689</v>
      </c>
      <c r="F277" s="118" t="s">
        <v>689</v>
      </c>
    </row>
    <row r="278" spans="2:6" ht="36">
      <c r="B278" s="116">
        <v>362</v>
      </c>
      <c r="C278" s="117" t="s">
        <v>198</v>
      </c>
      <c r="D278" s="118" t="s">
        <v>690</v>
      </c>
      <c r="E278" s="118" t="s">
        <v>691</v>
      </c>
      <c r="F278" s="118" t="s">
        <v>691</v>
      </c>
    </row>
    <row r="279" spans="2:6">
      <c r="B279" s="116">
        <v>363</v>
      </c>
      <c r="D279" s="118" t="s">
        <v>692</v>
      </c>
      <c r="E279" s="118" t="s">
        <v>693</v>
      </c>
      <c r="F279" s="118" t="s">
        <v>693</v>
      </c>
    </row>
    <row r="280" spans="2:6">
      <c r="B280" s="116">
        <v>364</v>
      </c>
      <c r="D280" s="118" t="s">
        <v>694</v>
      </c>
      <c r="E280" s="118" t="s">
        <v>694</v>
      </c>
      <c r="F280" s="118" t="s">
        <v>694</v>
      </c>
    </row>
    <row r="281" spans="2:6">
      <c r="B281" s="116">
        <v>365</v>
      </c>
      <c r="D281" s="118" t="s">
        <v>695</v>
      </c>
      <c r="E281" s="118" t="s">
        <v>695</v>
      </c>
      <c r="F281" s="118" t="s">
        <v>695</v>
      </c>
    </row>
    <row r="282" spans="2:6">
      <c r="B282" s="116">
        <v>366</v>
      </c>
      <c r="D282" s="118" t="s">
        <v>696</v>
      </c>
      <c r="E282" s="118" t="s">
        <v>697</v>
      </c>
      <c r="F282" s="118" t="s">
        <v>697</v>
      </c>
    </row>
    <row r="283" spans="2:6">
      <c r="B283" s="116">
        <v>367</v>
      </c>
      <c r="D283" s="118" t="s">
        <v>698</v>
      </c>
      <c r="E283" s="118" t="s">
        <v>699</v>
      </c>
      <c r="F283" s="118" t="s">
        <v>699</v>
      </c>
    </row>
    <row r="284" spans="2:6">
      <c r="B284" s="116">
        <v>368</v>
      </c>
      <c r="D284" s="118" t="s">
        <v>700</v>
      </c>
      <c r="E284" s="118" t="s">
        <v>701</v>
      </c>
      <c r="F284" s="118" t="s">
        <v>701</v>
      </c>
    </row>
    <row r="285" spans="2:6">
      <c r="B285" s="116">
        <v>369</v>
      </c>
      <c r="D285" s="118" t="s">
        <v>702</v>
      </c>
      <c r="E285" s="118" t="s">
        <v>703</v>
      </c>
      <c r="F285" s="118" t="s">
        <v>703</v>
      </c>
    </row>
    <row r="286" spans="2:6">
      <c r="B286" s="116">
        <v>370</v>
      </c>
      <c r="D286" s="118" t="s">
        <v>704</v>
      </c>
      <c r="E286" s="118" t="s">
        <v>705</v>
      </c>
      <c r="F286" s="118" t="s">
        <v>705</v>
      </c>
    </row>
    <row r="287" spans="2:6">
      <c r="B287" s="116">
        <v>371</v>
      </c>
      <c r="D287" s="118" t="s">
        <v>706</v>
      </c>
      <c r="E287" s="118" t="s">
        <v>707</v>
      </c>
      <c r="F287" s="118" t="s">
        <v>707</v>
      </c>
    </row>
    <row r="288" spans="2:6">
      <c r="B288" s="116">
        <v>372</v>
      </c>
      <c r="D288" s="118" t="s">
        <v>708</v>
      </c>
      <c r="E288" s="118" t="s">
        <v>709</v>
      </c>
      <c r="F288" s="118" t="s">
        <v>709</v>
      </c>
    </row>
    <row r="289" spans="2:6">
      <c r="B289" s="116">
        <v>373</v>
      </c>
      <c r="D289" s="118" t="s">
        <v>710</v>
      </c>
      <c r="E289" s="118" t="s">
        <v>711</v>
      </c>
      <c r="F289" s="118" t="s">
        <v>711</v>
      </c>
    </row>
    <row r="290" spans="2:6">
      <c r="B290" s="116">
        <v>374</v>
      </c>
      <c r="D290" s="118" t="s">
        <v>712</v>
      </c>
      <c r="E290" s="118" t="s">
        <v>709</v>
      </c>
      <c r="F290" s="118" t="s">
        <v>709</v>
      </c>
    </row>
    <row r="291" spans="2:6">
      <c r="B291" s="116">
        <v>375</v>
      </c>
      <c r="C291" s="117" t="s">
        <v>198</v>
      </c>
      <c r="D291" s="118" t="s">
        <v>713</v>
      </c>
      <c r="E291" s="118" t="s">
        <v>714</v>
      </c>
      <c r="F291" s="118" t="s">
        <v>714</v>
      </c>
    </row>
    <row r="292" spans="2:6">
      <c r="B292" s="116">
        <v>376</v>
      </c>
      <c r="D292" s="118" t="s">
        <v>715</v>
      </c>
      <c r="E292" s="118" t="s">
        <v>716</v>
      </c>
      <c r="F292" s="118" t="s">
        <v>716</v>
      </c>
    </row>
    <row r="293" spans="2:6">
      <c r="B293" s="116">
        <v>377</v>
      </c>
      <c r="D293" s="118" t="s">
        <v>717</v>
      </c>
      <c r="E293" s="118" t="s">
        <v>718</v>
      </c>
      <c r="F293" s="118" t="s">
        <v>718</v>
      </c>
    </row>
    <row r="294" spans="2:6">
      <c r="B294" s="116">
        <v>378</v>
      </c>
      <c r="D294" s="118" t="s">
        <v>719</v>
      </c>
      <c r="E294" s="118" t="s">
        <v>720</v>
      </c>
      <c r="F294" s="118" t="s">
        <v>720</v>
      </c>
    </row>
    <row r="295" spans="2:6">
      <c r="B295" s="116">
        <v>379</v>
      </c>
      <c r="C295" s="117" t="s">
        <v>255</v>
      </c>
      <c r="D295" s="115" t="s">
        <v>721</v>
      </c>
      <c r="E295" s="123" t="s">
        <v>722</v>
      </c>
      <c r="F295" s="123" t="s">
        <v>722</v>
      </c>
    </row>
    <row r="296" spans="2:6">
      <c r="B296" s="116">
        <v>380</v>
      </c>
      <c r="D296" s="118" t="s">
        <v>723</v>
      </c>
      <c r="E296" s="118" t="s">
        <v>724</v>
      </c>
      <c r="F296" s="118" t="s">
        <v>724</v>
      </c>
    </row>
    <row r="297" spans="2:6">
      <c r="B297" s="116">
        <v>381</v>
      </c>
      <c r="D297" s="118" t="s">
        <v>725</v>
      </c>
      <c r="E297" s="118" t="s">
        <v>726</v>
      </c>
      <c r="F297" s="118" t="s">
        <v>726</v>
      </c>
    </row>
    <row r="298" spans="2:6">
      <c r="B298" s="116">
        <v>382</v>
      </c>
      <c r="C298" s="117" t="s">
        <v>727</v>
      </c>
      <c r="D298" s="118" t="s">
        <v>728</v>
      </c>
      <c r="E298" s="118" t="s">
        <v>729</v>
      </c>
      <c r="F298" s="118" t="s">
        <v>729</v>
      </c>
    </row>
    <row r="299" spans="2:6">
      <c r="B299" s="116">
        <v>383</v>
      </c>
      <c r="D299" s="118" t="s">
        <v>730</v>
      </c>
      <c r="E299" s="118" t="s">
        <v>731</v>
      </c>
      <c r="F299" s="118" t="s">
        <v>731</v>
      </c>
    </row>
    <row r="300" spans="2:6">
      <c r="B300" s="116">
        <v>384</v>
      </c>
      <c r="D300" s="118" t="s">
        <v>732</v>
      </c>
      <c r="E300" s="118" t="s">
        <v>733</v>
      </c>
      <c r="F300" s="118" t="s">
        <v>733</v>
      </c>
    </row>
    <row r="301" spans="2:6">
      <c r="B301" s="116">
        <v>385</v>
      </c>
      <c r="D301" s="118" t="s">
        <v>734</v>
      </c>
      <c r="E301" s="118" t="s">
        <v>735</v>
      </c>
      <c r="F301" s="118" t="s">
        <v>735</v>
      </c>
    </row>
    <row r="302" spans="2:6">
      <c r="B302" s="116">
        <v>386</v>
      </c>
      <c r="D302" s="118" t="s">
        <v>736</v>
      </c>
      <c r="E302" s="118" t="s">
        <v>737</v>
      </c>
      <c r="F302" s="118" t="s">
        <v>737</v>
      </c>
    </row>
    <row r="303" spans="2:6">
      <c r="B303" s="116">
        <v>387</v>
      </c>
      <c r="D303" s="118" t="s">
        <v>738</v>
      </c>
      <c r="E303" s="118" t="s">
        <v>739</v>
      </c>
      <c r="F303" s="118" t="s">
        <v>739</v>
      </c>
    </row>
    <row r="304" spans="2:6">
      <c r="B304" s="116">
        <v>388</v>
      </c>
      <c r="D304" s="118" t="s">
        <v>740</v>
      </c>
      <c r="E304" s="118" t="s">
        <v>741</v>
      </c>
      <c r="F304" s="118" t="s">
        <v>741</v>
      </c>
    </row>
    <row r="305" spans="2:6" ht="24">
      <c r="B305" s="116">
        <v>389</v>
      </c>
      <c r="D305" s="118" t="s">
        <v>742</v>
      </c>
      <c r="E305" s="118" t="s">
        <v>743</v>
      </c>
      <c r="F305" s="118" t="s">
        <v>743</v>
      </c>
    </row>
    <row r="306" spans="2:6">
      <c r="B306" s="116">
        <v>390</v>
      </c>
      <c r="D306" s="118" t="s">
        <v>744</v>
      </c>
      <c r="E306" s="118" t="s">
        <v>745</v>
      </c>
      <c r="F306" s="118" t="s">
        <v>745</v>
      </c>
    </row>
    <row r="307" spans="2:6" ht="24">
      <c r="B307" s="116">
        <v>391</v>
      </c>
      <c r="D307" s="118" t="s">
        <v>746</v>
      </c>
      <c r="E307" s="118" t="s">
        <v>747</v>
      </c>
      <c r="F307" s="118" t="s">
        <v>747</v>
      </c>
    </row>
    <row r="308" spans="2:6">
      <c r="B308" s="116">
        <v>392</v>
      </c>
      <c r="D308" s="118" t="s">
        <v>748</v>
      </c>
      <c r="E308" s="118" t="s">
        <v>749</v>
      </c>
      <c r="F308" s="118" t="s">
        <v>749</v>
      </c>
    </row>
    <row r="309" spans="2:6">
      <c r="B309" s="116">
        <v>393</v>
      </c>
      <c r="D309" s="118" t="s">
        <v>750</v>
      </c>
      <c r="E309" s="118" t="s">
        <v>751</v>
      </c>
      <c r="F309" s="118" t="s">
        <v>751</v>
      </c>
    </row>
    <row r="310" spans="2:6">
      <c r="B310" s="116">
        <v>394</v>
      </c>
      <c r="D310" s="118" t="s">
        <v>752</v>
      </c>
      <c r="E310" s="118" t="s">
        <v>753</v>
      </c>
      <c r="F310" s="118" t="s">
        <v>753</v>
      </c>
    </row>
    <row r="311" spans="2:6">
      <c r="B311" s="116">
        <v>395</v>
      </c>
      <c r="D311" s="118" t="s">
        <v>754</v>
      </c>
      <c r="E311" s="118" t="s">
        <v>755</v>
      </c>
      <c r="F311" s="118" t="s">
        <v>755</v>
      </c>
    </row>
    <row r="312" spans="2:6">
      <c r="B312" s="116">
        <v>396</v>
      </c>
      <c r="D312" s="118" t="s">
        <v>756</v>
      </c>
      <c r="E312" s="118" t="s">
        <v>757</v>
      </c>
      <c r="F312" s="118" t="s">
        <v>757</v>
      </c>
    </row>
    <row r="313" spans="2:6">
      <c r="B313" s="116">
        <v>397</v>
      </c>
      <c r="D313" s="118" t="s">
        <v>758</v>
      </c>
      <c r="E313" s="118" t="s">
        <v>759</v>
      </c>
      <c r="F313" s="118" t="s">
        <v>759</v>
      </c>
    </row>
    <row r="314" spans="2:6">
      <c r="B314" s="116">
        <v>398</v>
      </c>
      <c r="D314" s="118" t="s">
        <v>760</v>
      </c>
      <c r="E314" s="118" t="s">
        <v>761</v>
      </c>
      <c r="F314" s="118" t="s">
        <v>761</v>
      </c>
    </row>
    <row r="315" spans="2:6">
      <c r="B315" s="116">
        <v>399</v>
      </c>
      <c r="D315" s="118" t="s">
        <v>762</v>
      </c>
      <c r="E315" s="118" t="s">
        <v>763</v>
      </c>
      <c r="F315" s="118" t="s">
        <v>763</v>
      </c>
    </row>
    <row r="316" spans="2:6">
      <c r="B316" s="116">
        <v>400</v>
      </c>
      <c r="D316" s="118" t="s">
        <v>764</v>
      </c>
      <c r="E316" s="118" t="s">
        <v>765</v>
      </c>
      <c r="F316" s="118" t="s">
        <v>765</v>
      </c>
    </row>
    <row r="317" spans="2:6">
      <c r="B317" s="116">
        <v>401</v>
      </c>
      <c r="C317" s="117" t="s">
        <v>246</v>
      </c>
      <c r="D317" s="118" t="s">
        <v>766</v>
      </c>
      <c r="E317" s="118" t="s">
        <v>767</v>
      </c>
      <c r="F317" s="118" t="s">
        <v>767</v>
      </c>
    </row>
    <row r="318" spans="2:6">
      <c r="B318" s="116">
        <v>402</v>
      </c>
      <c r="C318" s="117" t="s">
        <v>255</v>
      </c>
      <c r="D318" s="115" t="s">
        <v>768</v>
      </c>
      <c r="E318" s="123" t="s">
        <v>769</v>
      </c>
      <c r="F318" s="123" t="s">
        <v>769</v>
      </c>
    </row>
    <row r="319" spans="2:6">
      <c r="B319" s="116">
        <v>403</v>
      </c>
      <c r="D319" s="118" t="s">
        <v>770</v>
      </c>
      <c r="E319" s="118" t="s">
        <v>771</v>
      </c>
      <c r="F319" s="118" t="s">
        <v>771</v>
      </c>
    </row>
    <row r="320" spans="2:6">
      <c r="B320" s="116">
        <v>404</v>
      </c>
      <c r="D320" s="118" t="s">
        <v>772</v>
      </c>
      <c r="E320" s="118" t="s">
        <v>773</v>
      </c>
      <c r="F320" s="118" t="s">
        <v>773</v>
      </c>
    </row>
    <row r="321" spans="1:6">
      <c r="B321" s="116">
        <v>405</v>
      </c>
      <c r="D321" s="118" t="s">
        <v>774</v>
      </c>
      <c r="E321" s="118" t="s">
        <v>775</v>
      </c>
      <c r="F321" s="118" t="s">
        <v>775</v>
      </c>
    </row>
    <row r="322" spans="1:6">
      <c r="B322" s="116">
        <v>406</v>
      </c>
      <c r="D322" s="118" t="s">
        <v>776</v>
      </c>
      <c r="E322" s="118" t="s">
        <v>777</v>
      </c>
      <c r="F322" s="118" t="s">
        <v>777</v>
      </c>
    </row>
    <row r="323" spans="1:6">
      <c r="B323" s="116">
        <v>407</v>
      </c>
      <c r="C323" s="117" t="s">
        <v>255</v>
      </c>
      <c r="D323" s="115" t="s">
        <v>778</v>
      </c>
      <c r="E323" s="123" t="s">
        <v>779</v>
      </c>
      <c r="F323" s="123" t="s">
        <v>779</v>
      </c>
    </row>
    <row r="324" spans="1:6">
      <c r="B324" s="116">
        <v>408</v>
      </c>
      <c r="D324" s="118" t="s">
        <v>780</v>
      </c>
      <c r="E324" s="118" t="s">
        <v>781</v>
      </c>
      <c r="F324" s="118" t="s">
        <v>781</v>
      </c>
    </row>
    <row r="325" spans="1:6">
      <c r="B325" s="116">
        <v>409</v>
      </c>
      <c r="C325" s="117" t="s">
        <v>255</v>
      </c>
      <c r="D325" s="118" t="s">
        <v>782</v>
      </c>
      <c r="E325" s="123" t="s">
        <v>783</v>
      </c>
      <c r="F325" s="123" t="s">
        <v>783</v>
      </c>
    </row>
    <row r="326" spans="1:6">
      <c r="B326" s="116">
        <v>410</v>
      </c>
      <c r="D326" s="118" t="s">
        <v>784</v>
      </c>
      <c r="E326" s="118" t="s">
        <v>785</v>
      </c>
      <c r="F326" s="118" t="s">
        <v>785</v>
      </c>
    </row>
    <row r="327" spans="1:6" ht="36">
      <c r="B327" s="116">
        <v>411</v>
      </c>
      <c r="D327" s="118" t="s">
        <v>786</v>
      </c>
      <c r="E327" s="118" t="s">
        <v>787</v>
      </c>
      <c r="F327" s="118" t="s">
        <v>787</v>
      </c>
    </row>
    <row r="328" spans="1:6">
      <c r="B328" s="116">
        <v>412</v>
      </c>
      <c r="D328" s="118" t="s">
        <v>788</v>
      </c>
      <c r="E328" s="118" t="s">
        <v>789</v>
      </c>
      <c r="F328" s="118" t="s">
        <v>789</v>
      </c>
    </row>
    <row r="329" spans="1:6">
      <c r="B329" s="116">
        <v>413</v>
      </c>
      <c r="D329" s="118" t="s">
        <v>790</v>
      </c>
      <c r="E329" s="118" t="s">
        <v>791</v>
      </c>
      <c r="F329" s="118" t="s">
        <v>791</v>
      </c>
    </row>
    <row r="330" spans="1:6" ht="24">
      <c r="B330" s="116">
        <v>414</v>
      </c>
      <c r="D330" s="118" t="s">
        <v>792</v>
      </c>
      <c r="E330" s="118" t="s">
        <v>793</v>
      </c>
      <c r="F330" s="118" t="s">
        <v>793</v>
      </c>
    </row>
    <row r="331" spans="1:6">
      <c r="B331" s="116">
        <v>415</v>
      </c>
      <c r="D331" s="118" t="s">
        <v>794</v>
      </c>
      <c r="E331" s="118" t="s">
        <v>795</v>
      </c>
      <c r="F331" s="118" t="s">
        <v>795</v>
      </c>
    </row>
    <row r="332" spans="1:6">
      <c r="B332" s="116">
        <v>416</v>
      </c>
      <c r="D332" s="118" t="s">
        <v>796</v>
      </c>
      <c r="E332" s="118" t="s">
        <v>797</v>
      </c>
      <c r="F332" s="118" t="s">
        <v>797</v>
      </c>
    </row>
    <row r="333" spans="1:6">
      <c r="A333" s="120"/>
      <c r="B333" s="116">
        <v>417</v>
      </c>
      <c r="C333" s="121" t="s">
        <v>194</v>
      </c>
      <c r="D333" s="119" t="s">
        <v>798</v>
      </c>
      <c r="E333" s="119" t="s">
        <v>799</v>
      </c>
      <c r="F333" s="119" t="s">
        <v>799</v>
      </c>
    </row>
    <row r="334" spans="1:6">
      <c r="A334" s="120"/>
      <c r="B334" s="116">
        <v>418</v>
      </c>
      <c r="C334" s="121" t="s">
        <v>194</v>
      </c>
      <c r="D334" s="119" t="s">
        <v>800</v>
      </c>
      <c r="E334" s="119" t="s">
        <v>801</v>
      </c>
      <c r="F334" s="119" t="s">
        <v>801</v>
      </c>
    </row>
    <row r="335" spans="1:6">
      <c r="A335" s="120"/>
      <c r="B335" s="116">
        <v>419</v>
      </c>
      <c r="C335" s="121" t="s">
        <v>194</v>
      </c>
      <c r="D335" s="119" t="s">
        <v>802</v>
      </c>
      <c r="E335" s="119" t="s">
        <v>803</v>
      </c>
      <c r="F335" s="119" t="s">
        <v>803</v>
      </c>
    </row>
    <row r="336" spans="1:6">
      <c r="B336" s="116">
        <v>420</v>
      </c>
      <c r="D336" s="118" t="s">
        <v>804</v>
      </c>
      <c r="E336" s="118" t="s">
        <v>799</v>
      </c>
      <c r="F336" s="118" t="s">
        <v>799</v>
      </c>
    </row>
    <row r="337" spans="2:6">
      <c r="B337" s="116">
        <v>421</v>
      </c>
      <c r="D337" s="118" t="s">
        <v>805</v>
      </c>
      <c r="E337" s="119" t="s">
        <v>806</v>
      </c>
      <c r="F337" s="119" t="s">
        <v>806</v>
      </c>
    </row>
    <row r="338" spans="2:6">
      <c r="B338" s="116">
        <v>422</v>
      </c>
      <c r="D338" s="118" t="s">
        <v>807</v>
      </c>
      <c r="E338" s="118" t="s">
        <v>808</v>
      </c>
      <c r="F338" s="118" t="s">
        <v>808</v>
      </c>
    </row>
    <row r="339" spans="2:6">
      <c r="B339" s="116">
        <v>423</v>
      </c>
      <c r="D339" s="118" t="s">
        <v>809</v>
      </c>
      <c r="E339" s="118" t="s">
        <v>810</v>
      </c>
      <c r="F339" s="118" t="s">
        <v>810</v>
      </c>
    </row>
    <row r="340" spans="2:6">
      <c r="B340" s="116">
        <v>424</v>
      </c>
      <c r="D340" s="118" t="s">
        <v>811</v>
      </c>
      <c r="E340" s="118" t="s">
        <v>812</v>
      </c>
      <c r="F340" s="118" t="s">
        <v>812</v>
      </c>
    </row>
    <row r="341" spans="2:6">
      <c r="B341" s="116">
        <v>425</v>
      </c>
      <c r="D341" s="118" t="s">
        <v>813</v>
      </c>
      <c r="E341" s="118" t="s">
        <v>814</v>
      </c>
      <c r="F341" s="118" t="s">
        <v>814</v>
      </c>
    </row>
    <row r="342" spans="2:6">
      <c r="B342" s="116">
        <v>426</v>
      </c>
      <c r="D342" s="118" t="s">
        <v>815</v>
      </c>
      <c r="E342" s="118" t="s">
        <v>816</v>
      </c>
      <c r="F342" s="118" t="s">
        <v>816</v>
      </c>
    </row>
    <row r="343" spans="2:6">
      <c r="B343" s="116">
        <v>427</v>
      </c>
      <c r="D343" s="118" t="s">
        <v>817</v>
      </c>
      <c r="E343" s="118" t="s">
        <v>818</v>
      </c>
      <c r="F343" s="118" t="s">
        <v>818</v>
      </c>
    </row>
    <row r="344" spans="2:6">
      <c r="B344" s="116">
        <v>428</v>
      </c>
      <c r="D344" s="118" t="s">
        <v>819</v>
      </c>
      <c r="E344" s="118" t="s">
        <v>820</v>
      </c>
      <c r="F344" s="118" t="s">
        <v>820</v>
      </c>
    </row>
    <row r="345" spans="2:6">
      <c r="B345" s="116">
        <v>429</v>
      </c>
      <c r="D345" s="118" t="s">
        <v>821</v>
      </c>
      <c r="E345" s="118" t="s">
        <v>822</v>
      </c>
      <c r="F345" s="118" t="s">
        <v>822</v>
      </c>
    </row>
    <row r="346" spans="2:6">
      <c r="B346" s="116">
        <v>430</v>
      </c>
      <c r="D346" s="118" t="s">
        <v>823</v>
      </c>
      <c r="E346" s="118" t="s">
        <v>824</v>
      </c>
      <c r="F346" s="118" t="s">
        <v>824</v>
      </c>
    </row>
    <row r="347" spans="2:6">
      <c r="B347" s="116">
        <v>431</v>
      </c>
      <c r="D347" s="118" t="s">
        <v>825</v>
      </c>
      <c r="E347" s="118" t="s">
        <v>826</v>
      </c>
      <c r="F347" s="118" t="s">
        <v>826</v>
      </c>
    </row>
    <row r="348" spans="2:6">
      <c r="B348" s="116">
        <v>432</v>
      </c>
      <c r="D348" s="118" t="s">
        <v>827</v>
      </c>
      <c r="E348" s="118" t="s">
        <v>828</v>
      </c>
      <c r="F348" s="118" t="s">
        <v>828</v>
      </c>
    </row>
    <row r="349" spans="2:6">
      <c r="B349" s="116">
        <v>433</v>
      </c>
      <c r="D349" s="118" t="s">
        <v>829</v>
      </c>
      <c r="E349" s="118" t="s">
        <v>830</v>
      </c>
      <c r="F349" s="118" t="s">
        <v>830</v>
      </c>
    </row>
    <row r="350" spans="2:6">
      <c r="B350" s="116">
        <v>434</v>
      </c>
      <c r="D350" s="118" t="s">
        <v>831</v>
      </c>
      <c r="E350" s="118" t="s">
        <v>832</v>
      </c>
      <c r="F350" s="118" t="s">
        <v>832</v>
      </c>
    </row>
    <row r="351" spans="2:6">
      <c r="B351" s="116">
        <v>435</v>
      </c>
      <c r="D351" s="118" t="s">
        <v>833</v>
      </c>
      <c r="E351" s="118" t="s">
        <v>834</v>
      </c>
      <c r="F351" s="118" t="s">
        <v>834</v>
      </c>
    </row>
    <row r="352" spans="2:6">
      <c r="B352" s="116">
        <v>436</v>
      </c>
      <c r="D352" s="118" t="s">
        <v>835</v>
      </c>
      <c r="E352" s="118" t="s">
        <v>836</v>
      </c>
      <c r="F352" s="118" t="s">
        <v>836</v>
      </c>
    </row>
    <row r="353" spans="2:6">
      <c r="B353" s="116">
        <v>437</v>
      </c>
      <c r="D353" s="118" t="s">
        <v>837</v>
      </c>
      <c r="E353" s="118" t="s">
        <v>838</v>
      </c>
      <c r="F353" s="118" t="s">
        <v>838</v>
      </c>
    </row>
    <row r="354" spans="2:6">
      <c r="B354" s="116">
        <v>438</v>
      </c>
      <c r="D354" s="118" t="s">
        <v>839</v>
      </c>
      <c r="E354" s="118" t="s">
        <v>840</v>
      </c>
      <c r="F354" s="118" t="s">
        <v>840</v>
      </c>
    </row>
    <row r="355" spans="2:6">
      <c r="B355" s="116">
        <v>439</v>
      </c>
      <c r="D355" s="118" t="s">
        <v>841</v>
      </c>
      <c r="E355" s="118" t="s">
        <v>842</v>
      </c>
      <c r="F355" s="118" t="s">
        <v>842</v>
      </c>
    </row>
    <row r="356" spans="2:6">
      <c r="B356" s="116">
        <v>440</v>
      </c>
      <c r="D356" s="118" t="s">
        <v>843</v>
      </c>
      <c r="E356" s="118" t="s">
        <v>844</v>
      </c>
      <c r="F356" s="118" t="s">
        <v>844</v>
      </c>
    </row>
    <row r="357" spans="2:6">
      <c r="B357" s="116">
        <v>441</v>
      </c>
      <c r="D357" s="118" t="s">
        <v>845</v>
      </c>
      <c r="E357" s="118" t="s">
        <v>846</v>
      </c>
      <c r="F357" s="118" t="s">
        <v>846</v>
      </c>
    </row>
    <row r="358" spans="2:6">
      <c r="B358" s="116">
        <v>442</v>
      </c>
      <c r="D358" s="118" t="s">
        <v>847</v>
      </c>
      <c r="E358" s="118" t="s">
        <v>848</v>
      </c>
      <c r="F358" s="118" t="s">
        <v>848</v>
      </c>
    </row>
    <row r="359" spans="2:6">
      <c r="B359" s="116">
        <v>443</v>
      </c>
      <c r="D359" s="118" t="s">
        <v>849</v>
      </c>
      <c r="E359" s="118" t="s">
        <v>850</v>
      </c>
      <c r="F359" s="118" t="s">
        <v>850</v>
      </c>
    </row>
    <row r="360" spans="2:6">
      <c r="B360" s="116">
        <v>444</v>
      </c>
      <c r="D360" s="118" t="s">
        <v>851</v>
      </c>
      <c r="E360" s="118" t="s">
        <v>851</v>
      </c>
      <c r="F360" s="118" t="s">
        <v>851</v>
      </c>
    </row>
    <row r="361" spans="2:6" ht="24">
      <c r="B361" s="116">
        <v>445</v>
      </c>
      <c r="C361" s="117" t="s">
        <v>198</v>
      </c>
      <c r="D361" s="118" t="s">
        <v>852</v>
      </c>
      <c r="E361" s="118" t="s">
        <v>853</v>
      </c>
      <c r="F361" s="118" t="s">
        <v>853</v>
      </c>
    </row>
    <row r="362" spans="2:6">
      <c r="B362" s="116">
        <v>446</v>
      </c>
      <c r="D362" s="118" t="s">
        <v>854</v>
      </c>
      <c r="E362" s="118" t="s">
        <v>855</v>
      </c>
      <c r="F362" s="118" t="s">
        <v>855</v>
      </c>
    </row>
    <row r="363" spans="2:6">
      <c r="B363" s="116">
        <v>447</v>
      </c>
      <c r="C363" s="117" t="s">
        <v>255</v>
      </c>
      <c r="D363" s="118" t="s">
        <v>856</v>
      </c>
      <c r="E363" s="118" t="s">
        <v>857</v>
      </c>
      <c r="F363" s="118" t="s">
        <v>857</v>
      </c>
    </row>
    <row r="364" spans="2:6">
      <c r="B364" s="116">
        <v>448</v>
      </c>
      <c r="D364" s="118" t="s">
        <v>858</v>
      </c>
      <c r="E364" s="118" t="s">
        <v>859</v>
      </c>
      <c r="F364" s="118" t="s">
        <v>859</v>
      </c>
    </row>
    <row r="365" spans="2:6" ht="24">
      <c r="B365" s="116">
        <v>449</v>
      </c>
      <c r="D365" s="118" t="s">
        <v>860</v>
      </c>
      <c r="E365" s="118" t="s">
        <v>861</v>
      </c>
      <c r="F365" s="118" t="s">
        <v>861</v>
      </c>
    </row>
    <row r="366" spans="2:6">
      <c r="B366" s="116">
        <v>450</v>
      </c>
      <c r="D366" s="118" t="s">
        <v>862</v>
      </c>
      <c r="E366" s="118" t="s">
        <v>863</v>
      </c>
      <c r="F366" s="118" t="s">
        <v>863</v>
      </c>
    </row>
    <row r="367" spans="2:6">
      <c r="B367" s="116">
        <v>451</v>
      </c>
      <c r="D367" s="118" t="s">
        <v>864</v>
      </c>
      <c r="E367" s="118" t="s">
        <v>865</v>
      </c>
      <c r="F367" s="118" t="s">
        <v>865</v>
      </c>
    </row>
    <row r="368" spans="2:6" ht="24">
      <c r="B368" s="116">
        <v>452</v>
      </c>
      <c r="D368" s="118" t="s">
        <v>866</v>
      </c>
      <c r="E368" s="118" t="s">
        <v>867</v>
      </c>
      <c r="F368" s="118" t="s">
        <v>867</v>
      </c>
    </row>
    <row r="369" spans="2:6">
      <c r="B369" s="116">
        <v>453</v>
      </c>
      <c r="D369" s="119" t="s">
        <v>868</v>
      </c>
      <c r="E369" s="118" t="s">
        <v>379</v>
      </c>
      <c r="F369" s="118" t="s">
        <v>379</v>
      </c>
    </row>
    <row r="370" spans="2:6">
      <c r="B370" s="116">
        <v>454</v>
      </c>
      <c r="D370" s="118" t="s">
        <v>869</v>
      </c>
      <c r="E370" s="118" t="s">
        <v>870</v>
      </c>
      <c r="F370" s="118" t="s">
        <v>870</v>
      </c>
    </row>
    <row r="371" spans="2:6">
      <c r="B371" s="116">
        <v>455</v>
      </c>
      <c r="D371" s="118" t="s">
        <v>871</v>
      </c>
      <c r="E371" s="118" t="s">
        <v>872</v>
      </c>
      <c r="F371" s="118" t="s">
        <v>872</v>
      </c>
    </row>
    <row r="372" spans="2:6">
      <c r="B372" s="116">
        <v>456</v>
      </c>
      <c r="D372" s="118" t="s">
        <v>873</v>
      </c>
      <c r="E372" s="118" t="s">
        <v>874</v>
      </c>
      <c r="F372" s="118" t="s">
        <v>874</v>
      </c>
    </row>
    <row r="373" spans="2:6">
      <c r="B373" s="116">
        <v>457</v>
      </c>
      <c r="D373" s="118" t="s">
        <v>875</v>
      </c>
      <c r="E373" s="118" t="s">
        <v>876</v>
      </c>
      <c r="F373" s="118" t="s">
        <v>876</v>
      </c>
    </row>
    <row r="374" spans="2:6">
      <c r="B374" s="116">
        <v>458</v>
      </c>
      <c r="D374" s="118" t="s">
        <v>877</v>
      </c>
      <c r="E374" s="118" t="s">
        <v>878</v>
      </c>
      <c r="F374" s="118" t="s">
        <v>878</v>
      </c>
    </row>
    <row r="375" spans="2:6">
      <c r="B375" s="116">
        <v>459</v>
      </c>
      <c r="C375" s="117" t="s">
        <v>198</v>
      </c>
      <c r="D375" s="118" t="s">
        <v>879</v>
      </c>
      <c r="E375" s="118" t="s">
        <v>880</v>
      </c>
      <c r="F375" s="118" t="s">
        <v>880</v>
      </c>
    </row>
    <row r="376" spans="2:6">
      <c r="B376" s="116">
        <v>460</v>
      </c>
      <c r="D376" s="118" t="s">
        <v>881</v>
      </c>
      <c r="E376" s="118" t="s">
        <v>880</v>
      </c>
      <c r="F376" s="118" t="s">
        <v>880</v>
      </c>
    </row>
    <row r="377" spans="2:6">
      <c r="B377" s="116">
        <v>461</v>
      </c>
      <c r="D377" s="118" t="s">
        <v>882</v>
      </c>
      <c r="E377" s="118" t="s">
        <v>883</v>
      </c>
      <c r="F377" s="118" t="s">
        <v>883</v>
      </c>
    </row>
    <row r="378" spans="2:6">
      <c r="B378" s="116">
        <v>462</v>
      </c>
      <c r="D378" s="118" t="s">
        <v>884</v>
      </c>
      <c r="E378" s="118" t="s">
        <v>885</v>
      </c>
      <c r="F378" s="118" t="s">
        <v>885</v>
      </c>
    </row>
    <row r="379" spans="2:6">
      <c r="B379" s="116">
        <v>463</v>
      </c>
      <c r="D379" s="118" t="s">
        <v>886</v>
      </c>
      <c r="E379" s="118" t="s">
        <v>887</v>
      </c>
      <c r="F379" s="118" t="s">
        <v>887</v>
      </c>
    </row>
    <row r="380" spans="2:6">
      <c r="B380" s="116">
        <v>464</v>
      </c>
      <c r="D380" s="118" t="s">
        <v>888</v>
      </c>
      <c r="F380" s="118"/>
    </row>
    <row r="381" spans="2:6">
      <c r="B381" s="116">
        <v>465</v>
      </c>
      <c r="D381" s="118" t="s">
        <v>889</v>
      </c>
      <c r="E381" s="118" t="s">
        <v>890</v>
      </c>
      <c r="F381" s="118" t="s">
        <v>890</v>
      </c>
    </row>
    <row r="382" spans="2:6" ht="24">
      <c r="B382" s="116">
        <v>466</v>
      </c>
      <c r="D382" s="118" t="s">
        <v>891</v>
      </c>
      <c r="E382" s="118" t="s">
        <v>892</v>
      </c>
      <c r="F382" s="118" t="s">
        <v>892</v>
      </c>
    </row>
    <row r="383" spans="2:6" ht="24">
      <c r="B383" s="116">
        <v>467</v>
      </c>
      <c r="D383" s="118" t="s">
        <v>893</v>
      </c>
      <c r="E383" s="118" t="s">
        <v>894</v>
      </c>
      <c r="F383" s="118" t="s">
        <v>894</v>
      </c>
    </row>
    <row r="384" spans="2:6">
      <c r="B384" s="116">
        <v>468</v>
      </c>
      <c r="D384" s="118" t="s">
        <v>895</v>
      </c>
      <c r="E384" s="118" t="s">
        <v>896</v>
      </c>
      <c r="F384" s="118" t="s">
        <v>896</v>
      </c>
    </row>
    <row r="385" spans="2:6">
      <c r="B385" s="116">
        <v>469</v>
      </c>
      <c r="D385" s="118" t="s">
        <v>897</v>
      </c>
      <c r="E385" s="118" t="s">
        <v>898</v>
      </c>
      <c r="F385" s="118" t="s">
        <v>898</v>
      </c>
    </row>
    <row r="386" spans="2:6">
      <c r="B386" s="116">
        <v>470</v>
      </c>
      <c r="C386" s="117" t="s">
        <v>198</v>
      </c>
      <c r="D386" s="118" t="s">
        <v>899</v>
      </c>
      <c r="E386" s="118" t="s">
        <v>900</v>
      </c>
      <c r="F386" s="118" t="s">
        <v>900</v>
      </c>
    </row>
    <row r="387" spans="2:6">
      <c r="B387" s="116">
        <v>471</v>
      </c>
      <c r="C387" s="117" t="s">
        <v>198</v>
      </c>
      <c r="D387" s="118" t="s">
        <v>901</v>
      </c>
      <c r="E387" s="118" t="s">
        <v>902</v>
      </c>
      <c r="F387" s="118" t="s">
        <v>902</v>
      </c>
    </row>
    <row r="388" spans="2:6">
      <c r="B388" s="116">
        <v>472</v>
      </c>
      <c r="D388" s="118" t="s">
        <v>903</v>
      </c>
      <c r="E388" s="118" t="s">
        <v>904</v>
      </c>
      <c r="F388" s="118" t="s">
        <v>904</v>
      </c>
    </row>
    <row r="389" spans="2:6">
      <c r="B389" s="116">
        <v>473</v>
      </c>
      <c r="C389" s="117" t="s">
        <v>198</v>
      </c>
      <c r="D389" s="118" t="s">
        <v>905</v>
      </c>
      <c r="E389" s="118" t="s">
        <v>906</v>
      </c>
      <c r="F389" s="118" t="s">
        <v>906</v>
      </c>
    </row>
    <row r="390" spans="2:6" ht="24">
      <c r="B390" s="116">
        <v>474</v>
      </c>
      <c r="C390" s="117" t="s">
        <v>198</v>
      </c>
      <c r="D390" s="118" t="s">
        <v>907</v>
      </c>
      <c r="E390" s="118" t="s">
        <v>908</v>
      </c>
      <c r="F390" s="118" t="s">
        <v>908</v>
      </c>
    </row>
    <row r="391" spans="2:6">
      <c r="B391" s="116">
        <v>475</v>
      </c>
      <c r="C391" s="117" t="s">
        <v>198</v>
      </c>
      <c r="D391" s="118" t="s">
        <v>909</v>
      </c>
      <c r="E391" s="118" t="s">
        <v>910</v>
      </c>
      <c r="F391" s="118" t="s">
        <v>910</v>
      </c>
    </row>
    <row r="392" spans="2:6">
      <c r="B392" s="116">
        <v>476</v>
      </c>
      <c r="D392" s="118" t="s">
        <v>911</v>
      </c>
      <c r="E392" s="118" t="s">
        <v>912</v>
      </c>
      <c r="F392" s="118" t="s">
        <v>912</v>
      </c>
    </row>
    <row r="393" spans="2:6">
      <c r="B393" s="116">
        <v>477</v>
      </c>
      <c r="D393" s="118" t="s">
        <v>913</v>
      </c>
      <c r="E393" s="118" t="s">
        <v>914</v>
      </c>
      <c r="F393" s="118" t="s">
        <v>914</v>
      </c>
    </row>
    <row r="394" spans="2:6" ht="36">
      <c r="B394" s="116">
        <v>478</v>
      </c>
      <c r="C394" s="117" t="s">
        <v>198</v>
      </c>
      <c r="D394" s="118" t="s">
        <v>915</v>
      </c>
      <c r="E394" s="118" t="s">
        <v>916</v>
      </c>
      <c r="F394" s="118" t="s">
        <v>916</v>
      </c>
    </row>
    <row r="395" spans="2:6">
      <c r="B395" s="116">
        <v>479</v>
      </c>
      <c r="D395" s="118" t="s">
        <v>917</v>
      </c>
      <c r="E395" s="118" t="s">
        <v>918</v>
      </c>
      <c r="F395" s="118" t="s">
        <v>918</v>
      </c>
    </row>
    <row r="396" spans="2:6">
      <c r="B396" s="116">
        <v>480</v>
      </c>
      <c r="D396" s="118" t="s">
        <v>919</v>
      </c>
      <c r="E396" s="118" t="s">
        <v>920</v>
      </c>
      <c r="F396" s="118" t="s">
        <v>920</v>
      </c>
    </row>
    <row r="397" spans="2:6">
      <c r="B397" s="116">
        <v>481</v>
      </c>
      <c r="D397" s="118" t="s">
        <v>921</v>
      </c>
      <c r="E397" s="118" t="s">
        <v>922</v>
      </c>
      <c r="F397" s="118" t="s">
        <v>922</v>
      </c>
    </row>
    <row r="398" spans="2:6">
      <c r="B398" s="116">
        <v>482</v>
      </c>
      <c r="D398" s="118" t="s">
        <v>923</v>
      </c>
      <c r="E398" s="118" t="s">
        <v>924</v>
      </c>
      <c r="F398" s="118" t="s">
        <v>924</v>
      </c>
    </row>
    <row r="399" spans="2:6">
      <c r="B399" s="116">
        <v>483</v>
      </c>
      <c r="D399" s="118" t="s">
        <v>925</v>
      </c>
      <c r="E399" s="118" t="s">
        <v>926</v>
      </c>
      <c r="F399" s="118" t="s">
        <v>926</v>
      </c>
    </row>
    <row r="400" spans="2:6">
      <c r="B400" s="116">
        <v>484</v>
      </c>
      <c r="D400" s="118" t="s">
        <v>927</v>
      </c>
      <c r="E400" s="118" t="s">
        <v>928</v>
      </c>
      <c r="F400" s="118" t="s">
        <v>928</v>
      </c>
    </row>
    <row r="401" spans="2:6" ht="24">
      <c r="B401" s="116">
        <v>485</v>
      </c>
      <c r="D401" s="118" t="s">
        <v>929</v>
      </c>
      <c r="E401" s="118" t="s">
        <v>930</v>
      </c>
      <c r="F401" s="118" t="s">
        <v>930</v>
      </c>
    </row>
    <row r="402" spans="2:6">
      <c r="B402" s="116">
        <v>486</v>
      </c>
      <c r="D402" s="118" t="s">
        <v>931</v>
      </c>
      <c r="E402" s="118" t="s">
        <v>932</v>
      </c>
      <c r="F402" s="118" t="s">
        <v>932</v>
      </c>
    </row>
    <row r="403" spans="2:6">
      <c r="B403" s="116">
        <v>487</v>
      </c>
      <c r="D403" s="118" t="s">
        <v>933</v>
      </c>
      <c r="E403" s="118" t="s">
        <v>934</v>
      </c>
      <c r="F403" s="118" t="s">
        <v>934</v>
      </c>
    </row>
    <row r="404" spans="2:6">
      <c r="B404" s="116">
        <v>488</v>
      </c>
      <c r="D404" s="118" t="s">
        <v>935</v>
      </c>
      <c r="E404" s="118" t="s">
        <v>936</v>
      </c>
      <c r="F404" s="118" t="s">
        <v>936</v>
      </c>
    </row>
    <row r="405" spans="2:6">
      <c r="B405" s="116">
        <v>489</v>
      </c>
      <c r="D405" s="118" t="s">
        <v>937</v>
      </c>
      <c r="E405" s="118" t="s">
        <v>938</v>
      </c>
      <c r="F405" s="118" t="s">
        <v>938</v>
      </c>
    </row>
    <row r="406" spans="2:6">
      <c r="B406" s="116">
        <v>490</v>
      </c>
      <c r="C406" s="117" t="s">
        <v>255</v>
      </c>
      <c r="D406" s="118" t="s">
        <v>939</v>
      </c>
      <c r="E406" s="118" t="s">
        <v>940</v>
      </c>
      <c r="F406" s="118" t="s">
        <v>940</v>
      </c>
    </row>
    <row r="407" spans="2:6">
      <c r="B407" s="116">
        <v>491</v>
      </c>
      <c r="D407" s="118" t="s">
        <v>941</v>
      </c>
      <c r="E407" s="118" t="s">
        <v>942</v>
      </c>
      <c r="F407" s="118" t="s">
        <v>942</v>
      </c>
    </row>
    <row r="408" spans="2:6">
      <c r="B408" s="116">
        <v>492</v>
      </c>
      <c r="C408" s="117" t="s">
        <v>727</v>
      </c>
      <c r="D408" s="118" t="s">
        <v>943</v>
      </c>
      <c r="E408" s="118" t="s">
        <v>944</v>
      </c>
      <c r="F408" s="118" t="s">
        <v>944</v>
      </c>
    </row>
    <row r="409" spans="2:6">
      <c r="B409" s="116">
        <v>493</v>
      </c>
      <c r="C409" s="117" t="s">
        <v>727</v>
      </c>
      <c r="D409" s="118" t="s">
        <v>945</v>
      </c>
      <c r="E409" s="118" t="s">
        <v>946</v>
      </c>
      <c r="F409" s="118" t="s">
        <v>946</v>
      </c>
    </row>
    <row r="410" spans="2:6">
      <c r="B410" s="116">
        <v>494</v>
      </c>
      <c r="D410" s="118" t="s">
        <v>947</v>
      </c>
      <c r="E410" s="118" t="s">
        <v>948</v>
      </c>
      <c r="F410" s="118" t="s">
        <v>948</v>
      </c>
    </row>
    <row r="411" spans="2:6">
      <c r="B411" s="116">
        <v>495</v>
      </c>
      <c r="D411" s="118" t="s">
        <v>949</v>
      </c>
      <c r="E411" s="118" t="s">
        <v>950</v>
      </c>
      <c r="F411" s="118" t="s">
        <v>950</v>
      </c>
    </row>
    <row r="412" spans="2:6">
      <c r="B412" s="116">
        <v>496</v>
      </c>
      <c r="C412" s="117" t="s">
        <v>198</v>
      </c>
      <c r="D412" s="118" t="s">
        <v>951</v>
      </c>
      <c r="E412" s="118" t="s">
        <v>952</v>
      </c>
      <c r="F412" s="118" t="s">
        <v>952</v>
      </c>
    </row>
    <row r="413" spans="2:6">
      <c r="B413" s="116">
        <v>497</v>
      </c>
      <c r="D413" s="118" t="s">
        <v>953</v>
      </c>
      <c r="E413" s="118" t="s">
        <v>954</v>
      </c>
      <c r="F413" s="118" t="s">
        <v>954</v>
      </c>
    </row>
    <row r="414" spans="2:6" ht="36">
      <c r="B414" s="116">
        <v>498</v>
      </c>
      <c r="D414" s="118" t="s">
        <v>955</v>
      </c>
      <c r="E414" s="118" t="s">
        <v>956</v>
      </c>
      <c r="F414" s="118" t="s">
        <v>956</v>
      </c>
    </row>
    <row r="415" spans="2:6">
      <c r="B415" s="116">
        <v>499</v>
      </c>
      <c r="D415" s="118" t="s">
        <v>957</v>
      </c>
      <c r="E415" s="118" t="s">
        <v>958</v>
      </c>
      <c r="F415" s="118" t="s">
        <v>958</v>
      </c>
    </row>
    <row r="416" spans="2:6" ht="24">
      <c r="B416" s="116">
        <v>500</v>
      </c>
      <c r="D416" s="118" t="s">
        <v>959</v>
      </c>
      <c r="E416" s="118" t="s">
        <v>960</v>
      </c>
      <c r="F416" s="118" t="s">
        <v>960</v>
      </c>
    </row>
    <row r="417" spans="2:6" ht="24">
      <c r="B417" s="116">
        <v>501</v>
      </c>
      <c r="D417" s="118" t="s">
        <v>961</v>
      </c>
      <c r="E417" s="118" t="s">
        <v>962</v>
      </c>
      <c r="F417" s="118" t="s">
        <v>962</v>
      </c>
    </row>
    <row r="418" spans="2:6" ht="24">
      <c r="B418" s="116">
        <v>502</v>
      </c>
      <c r="D418" s="118" t="s">
        <v>963</v>
      </c>
      <c r="E418" s="118" t="s">
        <v>964</v>
      </c>
      <c r="F418" s="118" t="s">
        <v>964</v>
      </c>
    </row>
    <row r="419" spans="2:6" ht="24">
      <c r="B419" s="116">
        <v>503</v>
      </c>
      <c r="D419" s="118" t="s">
        <v>965</v>
      </c>
      <c r="E419" s="118" t="s">
        <v>966</v>
      </c>
      <c r="F419" s="118" t="s">
        <v>966</v>
      </c>
    </row>
    <row r="420" spans="2:6" ht="24">
      <c r="B420" s="116">
        <v>504</v>
      </c>
      <c r="D420" s="118" t="s">
        <v>967</v>
      </c>
      <c r="E420" s="118" t="s">
        <v>968</v>
      </c>
      <c r="F420" s="118" t="s">
        <v>968</v>
      </c>
    </row>
    <row r="421" spans="2:6" ht="24">
      <c r="B421" s="116">
        <v>505</v>
      </c>
      <c r="D421" s="118" t="s">
        <v>969</v>
      </c>
      <c r="E421" s="118" t="s">
        <v>970</v>
      </c>
      <c r="F421" s="118" t="s">
        <v>970</v>
      </c>
    </row>
    <row r="422" spans="2:6" ht="24">
      <c r="B422" s="116">
        <v>506</v>
      </c>
      <c r="D422" s="118" t="s">
        <v>971</v>
      </c>
      <c r="E422" s="118" t="s">
        <v>972</v>
      </c>
      <c r="F422" s="118" t="s">
        <v>972</v>
      </c>
    </row>
    <row r="423" spans="2:6" ht="24">
      <c r="B423" s="116">
        <v>507</v>
      </c>
      <c r="D423" s="118" t="s">
        <v>973</v>
      </c>
      <c r="E423" s="118" t="s">
        <v>974</v>
      </c>
      <c r="F423" s="118" t="s">
        <v>974</v>
      </c>
    </row>
    <row r="424" spans="2:6" ht="24">
      <c r="B424" s="116">
        <v>508</v>
      </c>
      <c r="D424" s="118" t="s">
        <v>975</v>
      </c>
      <c r="E424" s="118" t="s">
        <v>976</v>
      </c>
      <c r="F424" s="118" t="s">
        <v>976</v>
      </c>
    </row>
    <row r="425" spans="2:6" ht="24">
      <c r="B425" s="116">
        <v>509</v>
      </c>
      <c r="D425" s="118" t="s">
        <v>977</v>
      </c>
      <c r="E425" s="118" t="s">
        <v>978</v>
      </c>
      <c r="F425" s="118" t="s">
        <v>978</v>
      </c>
    </row>
    <row r="426" spans="2:6" ht="24">
      <c r="B426" s="116">
        <v>510</v>
      </c>
      <c r="D426" s="118" t="s">
        <v>979</v>
      </c>
      <c r="E426" s="118" t="s">
        <v>980</v>
      </c>
      <c r="F426" s="118" t="s">
        <v>980</v>
      </c>
    </row>
    <row r="427" spans="2:6" ht="24">
      <c r="B427" s="116">
        <v>511</v>
      </c>
      <c r="D427" s="118" t="s">
        <v>981</v>
      </c>
      <c r="E427" s="118" t="s">
        <v>982</v>
      </c>
      <c r="F427" s="118" t="s">
        <v>982</v>
      </c>
    </row>
    <row r="428" spans="2:6" ht="24">
      <c r="B428" s="116">
        <v>512</v>
      </c>
      <c r="D428" s="118" t="s">
        <v>983</v>
      </c>
      <c r="E428" s="118" t="s">
        <v>984</v>
      </c>
      <c r="F428" s="118" t="s">
        <v>984</v>
      </c>
    </row>
    <row r="429" spans="2:6" ht="24">
      <c r="B429" s="116">
        <v>513</v>
      </c>
      <c r="D429" s="118" t="s">
        <v>985</v>
      </c>
      <c r="E429" s="118" t="s">
        <v>986</v>
      </c>
      <c r="F429" s="118" t="s">
        <v>986</v>
      </c>
    </row>
    <row r="430" spans="2:6" ht="24">
      <c r="B430" s="116">
        <v>514</v>
      </c>
      <c r="D430" s="118" t="s">
        <v>987</v>
      </c>
      <c r="E430" s="118" t="s">
        <v>988</v>
      </c>
      <c r="F430" s="118" t="s">
        <v>988</v>
      </c>
    </row>
    <row r="431" spans="2:6" ht="24">
      <c r="B431" s="116">
        <v>515</v>
      </c>
      <c r="D431" s="118" t="s">
        <v>989</v>
      </c>
      <c r="E431" s="118" t="s">
        <v>990</v>
      </c>
      <c r="F431" s="118" t="s">
        <v>990</v>
      </c>
    </row>
    <row r="432" spans="2:6" ht="24">
      <c r="B432" s="116">
        <v>516</v>
      </c>
      <c r="D432" s="118" t="s">
        <v>991</v>
      </c>
      <c r="E432" s="118" t="s">
        <v>992</v>
      </c>
      <c r="F432" s="118" t="s">
        <v>992</v>
      </c>
    </row>
    <row r="433" spans="1:27" ht="24">
      <c r="B433" s="116">
        <v>517</v>
      </c>
      <c r="D433" s="118" t="s">
        <v>993</v>
      </c>
      <c r="E433" s="118" t="s">
        <v>994</v>
      </c>
      <c r="F433" s="118" t="s">
        <v>994</v>
      </c>
    </row>
    <row r="434" spans="1:27" ht="24">
      <c r="B434" s="116">
        <v>518</v>
      </c>
      <c r="D434" s="118" t="s">
        <v>995</v>
      </c>
      <c r="E434" s="118" t="s">
        <v>996</v>
      </c>
      <c r="F434" s="118" t="s">
        <v>996</v>
      </c>
    </row>
    <row r="435" spans="1:27" ht="24">
      <c r="B435" s="116">
        <v>519</v>
      </c>
      <c r="D435" s="118" t="s">
        <v>997</v>
      </c>
      <c r="E435" s="118" t="s">
        <v>998</v>
      </c>
      <c r="F435" s="118" t="s">
        <v>998</v>
      </c>
    </row>
    <row r="436" spans="1:27" ht="24">
      <c r="B436" s="116">
        <v>520</v>
      </c>
      <c r="D436" s="118" t="s">
        <v>999</v>
      </c>
      <c r="E436" s="118" t="s">
        <v>1000</v>
      </c>
      <c r="F436" s="118" t="s">
        <v>1000</v>
      </c>
    </row>
    <row r="437" spans="1:27" ht="24">
      <c r="B437" s="116">
        <v>521</v>
      </c>
      <c r="D437" s="118" t="s">
        <v>1001</v>
      </c>
      <c r="E437" s="118" t="s">
        <v>1002</v>
      </c>
      <c r="F437" s="118" t="s">
        <v>1002</v>
      </c>
    </row>
    <row r="438" spans="1:27" ht="24">
      <c r="B438" s="116">
        <v>522</v>
      </c>
      <c r="D438" s="118" t="s">
        <v>1003</v>
      </c>
      <c r="E438" s="118" t="s">
        <v>1002</v>
      </c>
      <c r="F438" s="118" t="s">
        <v>1002</v>
      </c>
    </row>
    <row r="439" spans="1:27" ht="24">
      <c r="B439" s="116">
        <v>523</v>
      </c>
      <c r="D439" s="118" t="s">
        <v>1004</v>
      </c>
      <c r="E439" s="118" t="s">
        <v>1005</v>
      </c>
      <c r="F439" s="118" t="s">
        <v>1005</v>
      </c>
    </row>
    <row r="440" spans="1:27" ht="24">
      <c r="B440" s="116">
        <v>524</v>
      </c>
      <c r="D440" s="118" t="s">
        <v>1006</v>
      </c>
      <c r="E440" s="118" t="s">
        <v>1007</v>
      </c>
      <c r="F440" s="118" t="s">
        <v>1007</v>
      </c>
    </row>
    <row r="441" spans="1:27" ht="24">
      <c r="B441" s="116">
        <v>525</v>
      </c>
      <c r="D441" s="118" t="s">
        <v>1008</v>
      </c>
      <c r="E441" s="118" t="s">
        <v>1009</v>
      </c>
      <c r="F441" s="118" t="s">
        <v>1009</v>
      </c>
    </row>
    <row r="442" spans="1:27" ht="24">
      <c r="B442" s="116">
        <v>526</v>
      </c>
      <c r="D442" s="118" t="s">
        <v>1010</v>
      </c>
      <c r="E442" s="118" t="s">
        <v>1011</v>
      </c>
      <c r="F442" s="118" t="s">
        <v>1011</v>
      </c>
    </row>
    <row r="443" spans="1:27" ht="24">
      <c r="B443" s="116">
        <v>527</v>
      </c>
      <c r="D443" s="118" t="s">
        <v>1012</v>
      </c>
      <c r="E443" s="118" t="s">
        <v>1013</v>
      </c>
      <c r="F443" s="118" t="s">
        <v>1013</v>
      </c>
    </row>
    <row r="444" spans="1:27" s="119" customFormat="1" ht="24">
      <c r="A444" s="115"/>
      <c r="B444" s="116">
        <v>528</v>
      </c>
      <c r="C444" s="117"/>
      <c r="D444" s="118" t="s">
        <v>1014</v>
      </c>
      <c r="E444" s="118" t="s">
        <v>1015</v>
      </c>
      <c r="F444" s="118" t="s">
        <v>1015</v>
      </c>
      <c r="G444" s="115"/>
      <c r="H444" s="115"/>
      <c r="I444" s="115"/>
      <c r="J444" s="115"/>
      <c r="K444" s="115"/>
      <c r="L444" s="115"/>
      <c r="M444" s="115"/>
      <c r="N444" s="115"/>
      <c r="O444" s="115"/>
      <c r="P444" s="115"/>
      <c r="Q444" s="115"/>
      <c r="R444" s="115"/>
      <c r="S444" s="115"/>
      <c r="T444" s="115"/>
      <c r="U444" s="115"/>
      <c r="V444" s="115"/>
      <c r="W444" s="115"/>
      <c r="X444" s="115"/>
      <c r="Y444" s="115"/>
      <c r="Z444" s="115"/>
      <c r="AA444" s="115"/>
    </row>
    <row r="445" spans="1:27" s="119" customFormat="1">
      <c r="A445" s="115"/>
      <c r="B445" s="116">
        <v>529</v>
      </c>
      <c r="C445" s="117"/>
      <c r="D445" s="118" t="s">
        <v>1016</v>
      </c>
      <c r="E445" s="118" t="s">
        <v>1017</v>
      </c>
      <c r="F445" s="118" t="s">
        <v>1017</v>
      </c>
      <c r="G445" s="115"/>
      <c r="H445" s="115"/>
      <c r="I445" s="115"/>
      <c r="J445" s="115"/>
      <c r="K445" s="115"/>
      <c r="L445" s="115"/>
      <c r="M445" s="115"/>
      <c r="N445" s="115"/>
      <c r="O445" s="115"/>
      <c r="P445" s="115"/>
      <c r="Q445" s="115"/>
      <c r="R445" s="115"/>
      <c r="S445" s="115"/>
      <c r="T445" s="115"/>
      <c r="U445" s="115"/>
      <c r="V445" s="115"/>
      <c r="W445" s="115"/>
      <c r="X445" s="115"/>
      <c r="Y445" s="115"/>
      <c r="Z445" s="115"/>
      <c r="AA445" s="115"/>
    </row>
    <row r="446" spans="1:27" s="120" customFormat="1" ht="36">
      <c r="A446" s="115"/>
      <c r="B446" s="116">
        <v>530</v>
      </c>
      <c r="C446" s="117"/>
      <c r="D446" s="118" t="s">
        <v>1018</v>
      </c>
      <c r="E446" s="118" t="s">
        <v>1019</v>
      </c>
      <c r="F446" s="118" t="s">
        <v>1019</v>
      </c>
      <c r="G446" s="115"/>
      <c r="H446" s="115"/>
      <c r="I446" s="115"/>
      <c r="J446" s="115"/>
      <c r="K446" s="115"/>
      <c r="L446" s="115"/>
      <c r="M446" s="115"/>
      <c r="N446" s="115"/>
      <c r="O446" s="115"/>
      <c r="P446" s="115"/>
      <c r="Q446" s="115"/>
      <c r="R446" s="115"/>
      <c r="S446" s="115"/>
      <c r="T446" s="115"/>
      <c r="U446" s="115"/>
      <c r="V446" s="115"/>
      <c r="W446" s="115"/>
      <c r="X446" s="115"/>
      <c r="Y446" s="115"/>
      <c r="Z446" s="115"/>
      <c r="AA446" s="115"/>
    </row>
    <row r="447" spans="1:27" s="120" customFormat="1">
      <c r="A447" s="115"/>
      <c r="B447" s="116">
        <v>531</v>
      </c>
      <c r="C447" s="117"/>
      <c r="D447" s="118" t="s">
        <v>1020</v>
      </c>
      <c r="E447" s="118" t="s">
        <v>1021</v>
      </c>
      <c r="F447" s="118" t="s">
        <v>1021</v>
      </c>
      <c r="G447" s="115"/>
      <c r="H447" s="115"/>
      <c r="I447" s="115"/>
      <c r="J447" s="115"/>
      <c r="K447" s="115"/>
      <c r="L447" s="115"/>
      <c r="M447" s="115"/>
      <c r="N447" s="115"/>
      <c r="O447" s="115"/>
      <c r="P447" s="115"/>
      <c r="Q447" s="115"/>
      <c r="R447" s="115"/>
      <c r="S447" s="115"/>
      <c r="T447" s="115"/>
      <c r="U447" s="115"/>
      <c r="V447" s="115"/>
      <c r="W447" s="115"/>
      <c r="X447" s="115"/>
      <c r="Y447" s="115"/>
      <c r="Z447" s="115"/>
      <c r="AA447" s="115"/>
    </row>
    <row r="448" spans="1:27" s="120" customFormat="1" ht="36">
      <c r="A448" s="115"/>
      <c r="B448" s="116">
        <v>532</v>
      </c>
      <c r="C448" s="117"/>
      <c r="D448" s="118" t="s">
        <v>1022</v>
      </c>
      <c r="E448" s="118" t="s">
        <v>1023</v>
      </c>
      <c r="F448" s="118" t="s">
        <v>1023</v>
      </c>
      <c r="G448" s="115"/>
      <c r="H448" s="115"/>
      <c r="I448" s="115"/>
      <c r="J448" s="115"/>
      <c r="K448" s="115"/>
      <c r="L448" s="115"/>
      <c r="M448" s="115"/>
      <c r="N448" s="115"/>
      <c r="O448" s="115"/>
      <c r="P448" s="115"/>
      <c r="Q448" s="115"/>
      <c r="R448" s="115"/>
      <c r="S448" s="115"/>
      <c r="T448" s="115"/>
      <c r="U448" s="115"/>
      <c r="V448" s="115"/>
      <c r="W448" s="115"/>
      <c r="X448" s="115"/>
      <c r="Y448" s="115"/>
      <c r="Z448" s="115"/>
      <c r="AA448" s="115"/>
    </row>
    <row r="449" spans="1:27" s="120" customFormat="1" ht="24">
      <c r="A449" s="115"/>
      <c r="B449" s="116">
        <v>533</v>
      </c>
      <c r="C449" s="117"/>
      <c r="D449" s="118" t="s">
        <v>1024</v>
      </c>
      <c r="E449" s="118" t="s">
        <v>1025</v>
      </c>
      <c r="F449" s="118" t="s">
        <v>1025</v>
      </c>
      <c r="G449" s="115"/>
      <c r="H449" s="115"/>
      <c r="I449" s="115"/>
      <c r="J449" s="115"/>
      <c r="K449" s="115"/>
      <c r="L449" s="115"/>
      <c r="M449" s="115"/>
      <c r="N449" s="115"/>
      <c r="O449" s="115"/>
      <c r="P449" s="115"/>
      <c r="Q449" s="115"/>
      <c r="R449" s="115"/>
      <c r="S449" s="115"/>
      <c r="T449" s="115"/>
      <c r="U449" s="115"/>
      <c r="V449" s="115"/>
      <c r="W449" s="115"/>
      <c r="X449" s="115"/>
      <c r="Y449" s="115"/>
      <c r="Z449" s="115"/>
      <c r="AA449" s="115"/>
    </row>
    <row r="450" spans="1:27" s="120" customFormat="1" ht="24">
      <c r="A450" s="115"/>
      <c r="B450" s="116">
        <v>534</v>
      </c>
      <c r="C450" s="117"/>
      <c r="D450" s="118" t="s">
        <v>1026</v>
      </c>
      <c r="E450" s="118" t="s">
        <v>1027</v>
      </c>
      <c r="F450" s="118" t="s">
        <v>1027</v>
      </c>
      <c r="G450" s="115"/>
      <c r="H450" s="115"/>
      <c r="I450" s="115"/>
      <c r="J450" s="115"/>
      <c r="K450" s="115"/>
      <c r="L450" s="115"/>
      <c r="M450" s="115"/>
      <c r="N450" s="115"/>
      <c r="O450" s="115"/>
      <c r="P450" s="115"/>
      <c r="Q450" s="115"/>
      <c r="R450" s="115"/>
      <c r="S450" s="115"/>
      <c r="T450" s="115"/>
      <c r="U450" s="115"/>
      <c r="V450" s="115"/>
      <c r="W450" s="115"/>
      <c r="X450" s="115"/>
      <c r="Y450" s="115"/>
      <c r="Z450" s="115"/>
      <c r="AA450" s="115"/>
    </row>
    <row r="451" spans="1:27" s="120" customFormat="1" ht="24">
      <c r="A451" s="115"/>
      <c r="B451" s="116">
        <v>535</v>
      </c>
      <c r="C451" s="117"/>
      <c r="D451" s="118" t="s">
        <v>1028</v>
      </c>
      <c r="E451" s="118" t="s">
        <v>1029</v>
      </c>
      <c r="F451" s="118" t="s">
        <v>1029</v>
      </c>
      <c r="G451" s="115"/>
      <c r="H451" s="115"/>
      <c r="I451" s="115"/>
      <c r="J451" s="115"/>
      <c r="K451" s="115"/>
      <c r="L451" s="115"/>
      <c r="M451" s="115"/>
      <c r="N451" s="115"/>
      <c r="O451" s="115"/>
      <c r="P451" s="115"/>
      <c r="Q451" s="115"/>
      <c r="R451" s="115"/>
      <c r="S451" s="115"/>
      <c r="T451" s="115"/>
      <c r="U451" s="115"/>
      <c r="V451" s="115"/>
      <c r="W451" s="115"/>
      <c r="X451" s="115"/>
      <c r="Y451" s="115"/>
      <c r="Z451" s="115"/>
      <c r="AA451" s="115"/>
    </row>
    <row r="452" spans="1:27" s="120" customFormat="1" ht="24">
      <c r="A452" s="115"/>
      <c r="B452" s="116">
        <v>536</v>
      </c>
      <c r="C452" s="117"/>
      <c r="D452" s="118" t="s">
        <v>1030</v>
      </c>
      <c r="E452" s="118" t="s">
        <v>1031</v>
      </c>
      <c r="F452" s="118" t="s">
        <v>1031</v>
      </c>
      <c r="G452" s="115"/>
      <c r="H452" s="115"/>
      <c r="I452" s="115"/>
      <c r="J452" s="115"/>
      <c r="K452" s="115"/>
      <c r="L452" s="115"/>
      <c r="M452" s="115"/>
      <c r="N452" s="115"/>
      <c r="O452" s="115"/>
      <c r="P452" s="115"/>
      <c r="Q452" s="115"/>
      <c r="R452" s="115"/>
      <c r="S452" s="115"/>
      <c r="T452" s="115"/>
      <c r="U452" s="115"/>
      <c r="V452" s="115"/>
      <c r="W452" s="115"/>
      <c r="X452" s="115"/>
      <c r="Y452" s="115"/>
      <c r="Z452" s="115"/>
      <c r="AA452" s="115"/>
    </row>
    <row r="453" spans="1:27" s="120" customFormat="1">
      <c r="A453" s="115"/>
      <c r="B453" s="116">
        <v>537</v>
      </c>
      <c r="C453" s="117"/>
      <c r="D453" s="118" t="s">
        <v>1032</v>
      </c>
      <c r="E453" s="118" t="s">
        <v>1033</v>
      </c>
      <c r="F453" s="118" t="s">
        <v>1033</v>
      </c>
      <c r="G453" s="115"/>
      <c r="H453" s="115"/>
      <c r="I453" s="115"/>
      <c r="J453" s="115"/>
      <c r="K453" s="115"/>
      <c r="L453" s="115"/>
      <c r="M453" s="115"/>
      <c r="N453" s="115"/>
      <c r="O453" s="115"/>
      <c r="P453" s="115"/>
      <c r="Q453" s="115"/>
      <c r="R453" s="115"/>
      <c r="S453" s="115"/>
      <c r="T453" s="115"/>
      <c r="U453" s="115"/>
      <c r="V453" s="115"/>
      <c r="W453" s="115"/>
      <c r="X453" s="115"/>
      <c r="Y453" s="115"/>
      <c r="Z453" s="115"/>
      <c r="AA453" s="115"/>
    </row>
    <row r="454" spans="1:27" s="120" customFormat="1">
      <c r="A454" s="115"/>
      <c r="B454" s="116">
        <v>538</v>
      </c>
      <c r="C454" s="117"/>
      <c r="D454" s="118" t="s">
        <v>1034</v>
      </c>
      <c r="E454" s="118" t="s">
        <v>1035</v>
      </c>
      <c r="F454" s="118" t="s">
        <v>1035</v>
      </c>
      <c r="G454" s="115"/>
      <c r="H454" s="115"/>
      <c r="I454" s="115"/>
      <c r="J454" s="115"/>
      <c r="K454" s="115"/>
      <c r="L454" s="115"/>
      <c r="M454" s="115"/>
      <c r="N454" s="115"/>
      <c r="O454" s="115"/>
      <c r="P454" s="115"/>
      <c r="Q454" s="115"/>
      <c r="R454" s="115"/>
      <c r="S454" s="115"/>
      <c r="T454" s="115"/>
      <c r="U454" s="115"/>
      <c r="V454" s="115"/>
      <c r="W454" s="115"/>
      <c r="X454" s="115"/>
      <c r="Y454" s="115"/>
      <c r="Z454" s="115"/>
      <c r="AA454" s="115"/>
    </row>
    <row r="455" spans="1:27" s="120" customFormat="1" ht="24">
      <c r="A455" s="115"/>
      <c r="B455" s="116">
        <v>539</v>
      </c>
      <c r="C455" s="117"/>
      <c r="D455" s="118" t="s">
        <v>1036</v>
      </c>
      <c r="E455" s="118" t="s">
        <v>1037</v>
      </c>
      <c r="F455" s="118" t="s">
        <v>1037</v>
      </c>
      <c r="G455" s="115"/>
      <c r="H455" s="115"/>
      <c r="I455" s="115"/>
      <c r="J455" s="115"/>
      <c r="K455" s="115"/>
      <c r="L455" s="115"/>
      <c r="M455" s="115"/>
      <c r="N455" s="115"/>
      <c r="O455" s="115"/>
      <c r="P455" s="115"/>
      <c r="Q455" s="115"/>
      <c r="R455" s="115"/>
      <c r="S455" s="115"/>
      <c r="T455" s="115"/>
      <c r="U455" s="115"/>
      <c r="V455" s="115"/>
      <c r="W455" s="115"/>
      <c r="X455" s="115"/>
      <c r="Y455" s="115"/>
      <c r="Z455" s="115"/>
      <c r="AA455" s="115"/>
    </row>
    <row r="456" spans="1:27" s="120" customFormat="1">
      <c r="A456" s="115"/>
      <c r="B456" s="116">
        <v>540</v>
      </c>
      <c r="C456" s="117"/>
      <c r="D456" s="118" t="s">
        <v>1038</v>
      </c>
      <c r="E456" s="118" t="s">
        <v>1039</v>
      </c>
      <c r="F456" s="118" t="s">
        <v>1039</v>
      </c>
      <c r="G456" s="115"/>
      <c r="H456" s="115"/>
      <c r="I456" s="115"/>
      <c r="J456" s="115"/>
      <c r="K456" s="115"/>
      <c r="L456" s="115"/>
      <c r="M456" s="115"/>
      <c r="N456" s="115"/>
      <c r="O456" s="115"/>
      <c r="P456" s="115"/>
      <c r="Q456" s="115"/>
      <c r="R456" s="115"/>
      <c r="S456" s="115"/>
      <c r="T456" s="115"/>
      <c r="U456" s="115"/>
      <c r="V456" s="115"/>
      <c r="W456" s="115"/>
      <c r="X456" s="115"/>
      <c r="Y456" s="115"/>
      <c r="Z456" s="115"/>
      <c r="AA456" s="115"/>
    </row>
    <row r="457" spans="1:27">
      <c r="B457" s="116">
        <v>541</v>
      </c>
      <c r="D457" s="118" t="s">
        <v>1040</v>
      </c>
      <c r="E457" s="118" t="s">
        <v>1041</v>
      </c>
      <c r="F457" s="118" t="s">
        <v>1041</v>
      </c>
    </row>
    <row r="458" spans="1:27">
      <c r="B458" s="116">
        <v>542</v>
      </c>
      <c r="D458" s="118" t="s">
        <v>1042</v>
      </c>
      <c r="E458" s="118" t="s">
        <v>1043</v>
      </c>
      <c r="F458" s="118" t="s">
        <v>1043</v>
      </c>
    </row>
    <row r="459" spans="1:27" ht="24">
      <c r="B459" s="116">
        <v>543</v>
      </c>
      <c r="D459" s="118" t="s">
        <v>1044</v>
      </c>
      <c r="E459" s="118" t="s">
        <v>1045</v>
      </c>
      <c r="F459" s="118" t="s">
        <v>1045</v>
      </c>
    </row>
    <row r="460" spans="1:27" ht="48">
      <c r="A460" s="119"/>
      <c r="B460" s="116">
        <v>544</v>
      </c>
      <c r="C460" s="125" t="s">
        <v>246</v>
      </c>
      <c r="D460" s="119" t="s">
        <v>1046</v>
      </c>
      <c r="E460" s="119" t="s">
        <v>1047</v>
      </c>
      <c r="F460" s="119" t="s">
        <v>1047</v>
      </c>
    </row>
    <row r="461" spans="1:27" ht="36">
      <c r="B461" s="116">
        <v>545</v>
      </c>
      <c r="D461" s="118" t="s">
        <v>1048</v>
      </c>
      <c r="E461" s="118" t="s">
        <v>1049</v>
      </c>
      <c r="F461" s="118" t="s">
        <v>1049</v>
      </c>
    </row>
    <row r="462" spans="1:27">
      <c r="B462" s="116">
        <v>546</v>
      </c>
      <c r="D462" s="118" t="s">
        <v>1050</v>
      </c>
      <c r="E462" s="118" t="s">
        <v>1051</v>
      </c>
      <c r="F462" s="118" t="s">
        <v>1051</v>
      </c>
    </row>
    <row r="463" spans="1:27">
      <c r="B463" s="116">
        <v>547</v>
      </c>
      <c r="D463" s="118" t="s">
        <v>1052</v>
      </c>
      <c r="E463" s="118" t="s">
        <v>1053</v>
      </c>
      <c r="F463" s="118" t="s">
        <v>1053</v>
      </c>
    </row>
    <row r="464" spans="1:27">
      <c r="B464" s="116">
        <v>548</v>
      </c>
      <c r="D464" s="118" t="s">
        <v>1054</v>
      </c>
      <c r="E464" s="118" t="s">
        <v>1055</v>
      </c>
      <c r="F464" s="118" t="s">
        <v>1055</v>
      </c>
    </row>
    <row r="465" spans="2:6" ht="24">
      <c r="B465" s="116">
        <v>549</v>
      </c>
      <c r="D465" s="118" t="s">
        <v>1056</v>
      </c>
      <c r="E465" s="118" t="s">
        <v>1057</v>
      </c>
      <c r="F465" s="118" t="s">
        <v>1057</v>
      </c>
    </row>
    <row r="466" spans="2:6">
      <c r="B466" s="116">
        <v>550</v>
      </c>
      <c r="D466" s="118" t="s">
        <v>1058</v>
      </c>
      <c r="E466" s="118" t="s">
        <v>1059</v>
      </c>
      <c r="F466" s="118" t="s">
        <v>1059</v>
      </c>
    </row>
    <row r="467" spans="2:6">
      <c r="B467" s="116">
        <v>551</v>
      </c>
      <c r="D467" s="118" t="s">
        <v>1060</v>
      </c>
      <c r="E467" s="118" t="s">
        <v>1061</v>
      </c>
      <c r="F467" s="118" t="s">
        <v>1061</v>
      </c>
    </row>
    <row r="468" spans="2:6">
      <c r="B468" s="116">
        <v>552</v>
      </c>
      <c r="D468" s="118" t="s">
        <v>1062</v>
      </c>
      <c r="E468" s="118" t="s">
        <v>1063</v>
      </c>
      <c r="F468" s="118" t="s">
        <v>1063</v>
      </c>
    </row>
    <row r="469" spans="2:6" ht="24">
      <c r="B469" s="116">
        <v>553</v>
      </c>
      <c r="D469" s="118" t="s">
        <v>1064</v>
      </c>
      <c r="E469" s="118" t="s">
        <v>1065</v>
      </c>
      <c r="F469" s="118" t="s">
        <v>1065</v>
      </c>
    </row>
    <row r="470" spans="2:6">
      <c r="B470" s="116">
        <v>554</v>
      </c>
      <c r="D470" s="118" t="s">
        <v>1066</v>
      </c>
      <c r="E470" s="118" t="s">
        <v>1067</v>
      </c>
      <c r="F470" s="118" t="s">
        <v>1067</v>
      </c>
    </row>
    <row r="471" spans="2:6" ht="24">
      <c r="B471" s="116">
        <v>555</v>
      </c>
      <c r="D471" s="118" t="s">
        <v>1068</v>
      </c>
      <c r="E471" s="118" t="s">
        <v>1069</v>
      </c>
      <c r="F471" s="118" t="s">
        <v>1069</v>
      </c>
    </row>
    <row r="472" spans="2:6">
      <c r="B472" s="116">
        <v>556</v>
      </c>
      <c r="D472" s="118" t="s">
        <v>1070</v>
      </c>
      <c r="E472" s="118" t="s">
        <v>1071</v>
      </c>
      <c r="F472" s="118" t="s">
        <v>1071</v>
      </c>
    </row>
    <row r="473" spans="2:6" ht="24">
      <c r="B473" s="116">
        <v>557</v>
      </c>
      <c r="D473" s="118" t="s">
        <v>1072</v>
      </c>
      <c r="E473" s="118" t="s">
        <v>1073</v>
      </c>
      <c r="F473" s="118" t="s">
        <v>1073</v>
      </c>
    </row>
    <row r="474" spans="2:6" ht="24">
      <c r="B474" s="116">
        <v>558</v>
      </c>
      <c r="D474" s="118" t="s">
        <v>1074</v>
      </c>
      <c r="E474" s="118" t="s">
        <v>1075</v>
      </c>
      <c r="F474" s="118" t="s">
        <v>1075</v>
      </c>
    </row>
    <row r="475" spans="2:6" ht="24">
      <c r="B475" s="116">
        <v>559</v>
      </c>
      <c r="D475" s="118" t="s">
        <v>1076</v>
      </c>
      <c r="E475" s="118" t="s">
        <v>1077</v>
      </c>
      <c r="F475" s="118" t="s">
        <v>1077</v>
      </c>
    </row>
    <row r="476" spans="2:6">
      <c r="B476" s="116">
        <v>560</v>
      </c>
      <c r="D476" s="118" t="s">
        <v>1078</v>
      </c>
      <c r="E476" s="118" t="s">
        <v>1079</v>
      </c>
      <c r="F476" s="118" t="s">
        <v>1079</v>
      </c>
    </row>
    <row r="477" spans="2:6">
      <c r="B477" s="116">
        <v>561</v>
      </c>
      <c r="C477" s="117" t="s">
        <v>727</v>
      </c>
      <c r="D477" s="118" t="s">
        <v>1080</v>
      </c>
      <c r="E477" s="118" t="s">
        <v>1081</v>
      </c>
      <c r="F477" s="118" t="s">
        <v>1081</v>
      </c>
    </row>
    <row r="478" spans="2:6" ht="24">
      <c r="B478" s="116">
        <v>562</v>
      </c>
      <c r="C478" s="117" t="s">
        <v>727</v>
      </c>
      <c r="D478" s="118" t="s">
        <v>1082</v>
      </c>
      <c r="E478" s="118" t="s">
        <v>1083</v>
      </c>
      <c r="F478" s="118" t="s">
        <v>1083</v>
      </c>
    </row>
    <row r="479" spans="2:6">
      <c r="B479" s="116">
        <v>563</v>
      </c>
      <c r="D479" s="118" t="s">
        <v>1084</v>
      </c>
      <c r="E479" s="118" t="s">
        <v>1085</v>
      </c>
      <c r="F479" s="118" t="s">
        <v>1085</v>
      </c>
    </row>
    <row r="480" spans="2:6">
      <c r="B480" s="116">
        <v>564</v>
      </c>
      <c r="D480" s="118" t="s">
        <v>1086</v>
      </c>
      <c r="E480" s="118" t="s">
        <v>1087</v>
      </c>
      <c r="F480" s="118" t="s">
        <v>1087</v>
      </c>
    </row>
    <row r="481" spans="2:6" ht="36">
      <c r="B481" s="116">
        <v>565</v>
      </c>
      <c r="D481" s="118" t="s">
        <v>1088</v>
      </c>
      <c r="E481" s="118" t="s">
        <v>1089</v>
      </c>
      <c r="F481" s="118" t="s">
        <v>1089</v>
      </c>
    </row>
    <row r="482" spans="2:6">
      <c r="B482" s="116">
        <v>566</v>
      </c>
      <c r="D482" s="118" t="s">
        <v>1090</v>
      </c>
      <c r="E482" s="118" t="s">
        <v>1091</v>
      </c>
      <c r="F482" s="118" t="s">
        <v>1091</v>
      </c>
    </row>
    <row r="483" spans="2:6">
      <c r="B483" s="116">
        <v>567</v>
      </c>
      <c r="D483" s="118" t="s">
        <v>1092</v>
      </c>
      <c r="E483" s="118" t="s">
        <v>1093</v>
      </c>
      <c r="F483" s="118" t="s">
        <v>1093</v>
      </c>
    </row>
    <row r="484" spans="2:6">
      <c r="B484" s="116">
        <v>568</v>
      </c>
      <c r="D484" s="118" t="s">
        <v>1094</v>
      </c>
      <c r="E484" s="118" t="s">
        <v>1095</v>
      </c>
      <c r="F484" s="118" t="s">
        <v>1095</v>
      </c>
    </row>
    <row r="485" spans="2:6">
      <c r="B485" s="116">
        <v>569</v>
      </c>
      <c r="D485" s="118" t="s">
        <v>1096</v>
      </c>
      <c r="E485" s="118" t="s">
        <v>1097</v>
      </c>
      <c r="F485" s="118" t="s">
        <v>1097</v>
      </c>
    </row>
    <row r="486" spans="2:6">
      <c r="B486" s="116">
        <v>570</v>
      </c>
      <c r="D486" s="118" t="s">
        <v>1098</v>
      </c>
      <c r="E486" s="118" t="s">
        <v>1099</v>
      </c>
      <c r="F486" s="118" t="s">
        <v>1099</v>
      </c>
    </row>
    <row r="487" spans="2:6" ht="36">
      <c r="B487" s="116">
        <v>571</v>
      </c>
      <c r="D487" s="118" t="s">
        <v>1100</v>
      </c>
      <c r="E487" s="118" t="s">
        <v>1101</v>
      </c>
      <c r="F487" s="118" t="s">
        <v>1101</v>
      </c>
    </row>
    <row r="488" spans="2:6" ht="24">
      <c r="B488" s="116">
        <v>572</v>
      </c>
      <c r="D488" s="118" t="s">
        <v>1102</v>
      </c>
      <c r="E488" s="118" t="s">
        <v>1103</v>
      </c>
      <c r="F488" s="118" t="s">
        <v>1103</v>
      </c>
    </row>
    <row r="489" spans="2:6">
      <c r="B489" s="116">
        <v>573</v>
      </c>
      <c r="D489" s="118" t="s">
        <v>1104</v>
      </c>
      <c r="E489" s="118" t="s">
        <v>1105</v>
      </c>
      <c r="F489" s="118" t="s">
        <v>1105</v>
      </c>
    </row>
    <row r="490" spans="2:6">
      <c r="B490" s="116">
        <v>574</v>
      </c>
      <c r="D490" s="118" t="s">
        <v>1106</v>
      </c>
      <c r="E490" s="118" t="s">
        <v>1107</v>
      </c>
      <c r="F490" s="118" t="s">
        <v>1107</v>
      </c>
    </row>
    <row r="491" spans="2:6" ht="24">
      <c r="B491" s="116">
        <v>575</v>
      </c>
      <c r="D491" s="118" t="s">
        <v>1108</v>
      </c>
      <c r="E491" s="118" t="s">
        <v>1109</v>
      </c>
      <c r="F491" s="118" t="s">
        <v>1109</v>
      </c>
    </row>
    <row r="492" spans="2:6">
      <c r="B492" s="116">
        <v>576</v>
      </c>
      <c r="D492" s="118" t="s">
        <v>1110</v>
      </c>
      <c r="E492" s="118" t="s">
        <v>1111</v>
      </c>
      <c r="F492" s="118" t="s">
        <v>1111</v>
      </c>
    </row>
    <row r="493" spans="2:6">
      <c r="B493" s="116">
        <v>577</v>
      </c>
      <c r="D493" s="118" t="s">
        <v>1112</v>
      </c>
      <c r="E493" s="118" t="s">
        <v>1113</v>
      </c>
      <c r="F493" s="118" t="s">
        <v>1113</v>
      </c>
    </row>
    <row r="494" spans="2:6">
      <c r="B494" s="116">
        <v>578</v>
      </c>
      <c r="D494" s="118" t="s">
        <v>1114</v>
      </c>
      <c r="E494" s="118" t="s">
        <v>1115</v>
      </c>
      <c r="F494" s="118" t="s">
        <v>1115</v>
      </c>
    </row>
    <row r="495" spans="2:6">
      <c r="B495" s="116">
        <v>579</v>
      </c>
      <c r="D495" s="118" t="s">
        <v>1116</v>
      </c>
      <c r="E495" s="118" t="s">
        <v>1117</v>
      </c>
      <c r="F495" s="118" t="s">
        <v>1117</v>
      </c>
    </row>
    <row r="496" spans="2:6">
      <c r="B496" s="116">
        <v>580</v>
      </c>
      <c r="D496" s="118" t="s">
        <v>1118</v>
      </c>
      <c r="E496" s="118" t="s">
        <v>1119</v>
      </c>
      <c r="F496" s="118" t="s">
        <v>1119</v>
      </c>
    </row>
    <row r="497" spans="1:6">
      <c r="B497" s="116">
        <v>581</v>
      </c>
      <c r="D497" s="118" t="s">
        <v>1120</v>
      </c>
      <c r="E497" s="118" t="s">
        <v>1121</v>
      </c>
      <c r="F497" s="118" t="s">
        <v>1121</v>
      </c>
    </row>
    <row r="498" spans="1:6" ht="36">
      <c r="B498" s="116">
        <v>582</v>
      </c>
      <c r="D498" s="118" t="s">
        <v>1122</v>
      </c>
      <c r="E498" s="118" t="s">
        <v>1123</v>
      </c>
      <c r="F498" s="118" t="s">
        <v>1123</v>
      </c>
    </row>
    <row r="499" spans="1:6">
      <c r="B499" s="116">
        <v>583</v>
      </c>
      <c r="D499" s="118" t="s">
        <v>1124</v>
      </c>
      <c r="E499" s="118" t="s">
        <v>1125</v>
      </c>
      <c r="F499" s="118" t="s">
        <v>1125</v>
      </c>
    </row>
    <row r="500" spans="1:6">
      <c r="B500" s="116">
        <v>584</v>
      </c>
      <c r="D500" s="118" t="s">
        <v>1126</v>
      </c>
      <c r="E500" s="118" t="s">
        <v>1127</v>
      </c>
      <c r="F500" s="118" t="s">
        <v>1127</v>
      </c>
    </row>
    <row r="501" spans="1:6">
      <c r="B501" s="116">
        <v>585</v>
      </c>
      <c r="C501" s="117" t="s">
        <v>255</v>
      </c>
      <c r="D501" s="115" t="s">
        <v>1128</v>
      </c>
      <c r="E501" s="123" t="s">
        <v>1129</v>
      </c>
      <c r="F501" s="123" t="s">
        <v>1129</v>
      </c>
    </row>
    <row r="502" spans="1:6">
      <c r="B502" s="116">
        <v>586</v>
      </c>
      <c r="C502" s="117" t="s">
        <v>255</v>
      </c>
      <c r="D502" s="118" t="s">
        <v>1130</v>
      </c>
      <c r="E502" s="123" t="s">
        <v>1131</v>
      </c>
      <c r="F502" s="123" t="s">
        <v>1131</v>
      </c>
    </row>
    <row r="503" spans="1:6">
      <c r="B503" s="116">
        <v>587</v>
      </c>
      <c r="D503" s="118" t="s">
        <v>1132</v>
      </c>
      <c r="E503" s="118" t="s">
        <v>1133</v>
      </c>
      <c r="F503" s="118" t="s">
        <v>1133</v>
      </c>
    </row>
    <row r="504" spans="1:6" ht="36">
      <c r="B504" s="116">
        <v>588</v>
      </c>
      <c r="D504" s="118" t="s">
        <v>1134</v>
      </c>
      <c r="E504" s="118" t="s">
        <v>1135</v>
      </c>
      <c r="F504" s="118" t="s">
        <v>1135</v>
      </c>
    </row>
    <row r="505" spans="1:6">
      <c r="B505" s="116">
        <v>589</v>
      </c>
      <c r="D505" s="118" t="s">
        <v>1136</v>
      </c>
      <c r="E505" s="118" t="s">
        <v>1137</v>
      </c>
      <c r="F505" s="118" t="s">
        <v>1137</v>
      </c>
    </row>
    <row r="506" spans="1:6">
      <c r="A506" s="120"/>
      <c r="B506" s="116">
        <v>590</v>
      </c>
      <c r="C506" s="121" t="s">
        <v>194</v>
      </c>
      <c r="D506" s="119" t="s">
        <v>1138</v>
      </c>
      <c r="E506" s="119" t="s">
        <v>1139</v>
      </c>
      <c r="F506" s="119" t="s">
        <v>1139</v>
      </c>
    </row>
    <row r="507" spans="1:6">
      <c r="A507" s="120"/>
      <c r="B507" s="116">
        <v>591</v>
      </c>
      <c r="C507" s="121" t="s">
        <v>194</v>
      </c>
      <c r="D507" s="119" t="s">
        <v>1140</v>
      </c>
      <c r="E507" s="119" t="s">
        <v>1141</v>
      </c>
      <c r="F507" s="119" t="s">
        <v>1141</v>
      </c>
    </row>
    <row r="508" spans="1:6">
      <c r="B508" s="116">
        <v>592</v>
      </c>
      <c r="D508" s="118" t="s">
        <v>1142</v>
      </c>
      <c r="E508" s="119" t="s">
        <v>1143</v>
      </c>
      <c r="F508" s="119" t="s">
        <v>1143</v>
      </c>
    </row>
    <row r="509" spans="1:6">
      <c r="B509" s="116">
        <v>593</v>
      </c>
      <c r="D509" s="118" t="s">
        <v>1144</v>
      </c>
      <c r="E509" s="118" t="s">
        <v>1145</v>
      </c>
      <c r="F509" s="118" t="s">
        <v>1145</v>
      </c>
    </row>
    <row r="510" spans="1:6">
      <c r="B510" s="116">
        <v>594</v>
      </c>
      <c r="D510" s="118" t="s">
        <v>1146</v>
      </c>
      <c r="E510" s="118" t="s">
        <v>1147</v>
      </c>
      <c r="F510" s="118" t="s">
        <v>1147</v>
      </c>
    </row>
    <row r="511" spans="1:6" ht="24">
      <c r="B511" s="116">
        <v>595</v>
      </c>
      <c r="D511" s="118" t="s">
        <v>1148</v>
      </c>
      <c r="E511" s="118" t="s">
        <v>1149</v>
      </c>
      <c r="F511" s="118" t="s">
        <v>1149</v>
      </c>
    </row>
    <row r="512" spans="1:6">
      <c r="B512" s="116">
        <v>596</v>
      </c>
      <c r="D512" s="118" t="s">
        <v>1150</v>
      </c>
      <c r="E512" s="118" t="s">
        <v>1151</v>
      </c>
      <c r="F512" s="118" t="s">
        <v>1151</v>
      </c>
    </row>
    <row r="513" spans="2:6" ht="36">
      <c r="B513" s="116">
        <v>597</v>
      </c>
      <c r="D513" s="118" t="s">
        <v>1152</v>
      </c>
      <c r="E513" s="118" t="s">
        <v>1153</v>
      </c>
      <c r="F513" s="118" t="s">
        <v>1153</v>
      </c>
    </row>
    <row r="514" spans="2:6">
      <c r="B514" s="116">
        <v>598</v>
      </c>
      <c r="D514" s="118" t="s">
        <v>1154</v>
      </c>
      <c r="E514" s="118" t="s">
        <v>1155</v>
      </c>
      <c r="F514" s="118" t="s">
        <v>1155</v>
      </c>
    </row>
    <row r="515" spans="2:6">
      <c r="B515" s="116">
        <v>599</v>
      </c>
      <c r="D515" s="118" t="s">
        <v>1156</v>
      </c>
      <c r="E515" s="118" t="s">
        <v>1157</v>
      </c>
      <c r="F515" s="118" t="s">
        <v>1157</v>
      </c>
    </row>
    <row r="516" spans="2:6">
      <c r="B516" s="116">
        <v>600</v>
      </c>
      <c r="D516" s="118" t="s">
        <v>1158</v>
      </c>
      <c r="E516" s="118" t="s">
        <v>1159</v>
      </c>
      <c r="F516" s="118" t="s">
        <v>1159</v>
      </c>
    </row>
    <row r="517" spans="2:6">
      <c r="B517" s="116">
        <v>601</v>
      </c>
      <c r="D517" s="118" t="s">
        <v>1160</v>
      </c>
      <c r="E517" s="118" t="s">
        <v>1161</v>
      </c>
      <c r="F517" s="118" t="s">
        <v>1161</v>
      </c>
    </row>
    <row r="518" spans="2:6">
      <c r="B518" s="116">
        <v>602</v>
      </c>
      <c r="D518" s="118" t="s">
        <v>1162</v>
      </c>
      <c r="E518" s="118" t="s">
        <v>1163</v>
      </c>
      <c r="F518" s="118" t="s">
        <v>1163</v>
      </c>
    </row>
    <row r="519" spans="2:6">
      <c r="B519" s="116">
        <v>603</v>
      </c>
      <c r="D519" s="118" t="s">
        <v>1164</v>
      </c>
      <c r="E519" s="118" t="s">
        <v>1165</v>
      </c>
      <c r="F519" s="118" t="s">
        <v>1165</v>
      </c>
    </row>
    <row r="520" spans="2:6">
      <c r="B520" s="116">
        <v>604</v>
      </c>
      <c r="D520" s="118" t="s">
        <v>1166</v>
      </c>
      <c r="E520" s="118" t="s">
        <v>1166</v>
      </c>
      <c r="F520" s="118" t="s">
        <v>1166</v>
      </c>
    </row>
    <row r="521" spans="2:6">
      <c r="B521" s="116">
        <v>605</v>
      </c>
      <c r="D521" s="118" t="s">
        <v>1167</v>
      </c>
      <c r="E521" s="118" t="s">
        <v>1168</v>
      </c>
      <c r="F521" s="118" t="s">
        <v>1168</v>
      </c>
    </row>
    <row r="522" spans="2:6" ht="24">
      <c r="B522" s="116">
        <v>606</v>
      </c>
      <c r="D522" s="118" t="s">
        <v>1169</v>
      </c>
      <c r="E522" s="118" t="s">
        <v>1170</v>
      </c>
      <c r="F522" s="118" t="s">
        <v>1170</v>
      </c>
    </row>
    <row r="523" spans="2:6">
      <c r="B523" s="116">
        <v>607</v>
      </c>
      <c r="D523" s="118" t="s">
        <v>1171</v>
      </c>
      <c r="E523" s="118" t="s">
        <v>1171</v>
      </c>
      <c r="F523" s="118" t="s">
        <v>1171</v>
      </c>
    </row>
    <row r="524" spans="2:6">
      <c r="B524" s="116">
        <v>608</v>
      </c>
      <c r="D524" s="118" t="s">
        <v>1172</v>
      </c>
      <c r="E524" s="118" t="s">
        <v>1173</v>
      </c>
      <c r="F524" s="118" t="s">
        <v>1173</v>
      </c>
    </row>
    <row r="525" spans="2:6">
      <c r="B525" s="116">
        <v>609</v>
      </c>
      <c r="D525" s="118" t="s">
        <v>1174</v>
      </c>
      <c r="E525" s="118" t="s">
        <v>1175</v>
      </c>
      <c r="F525" s="118" t="s">
        <v>1175</v>
      </c>
    </row>
    <row r="526" spans="2:6">
      <c r="B526" s="116">
        <v>610</v>
      </c>
      <c r="D526" s="118" t="s">
        <v>1176</v>
      </c>
      <c r="F526" s="118"/>
    </row>
    <row r="527" spans="2:6">
      <c r="B527" s="116">
        <v>611</v>
      </c>
      <c r="D527" s="118" t="s">
        <v>1177</v>
      </c>
      <c r="E527" s="118" t="s">
        <v>1178</v>
      </c>
      <c r="F527" s="118" t="s">
        <v>1178</v>
      </c>
    </row>
    <row r="528" spans="2:6">
      <c r="B528" s="116">
        <v>612</v>
      </c>
      <c r="C528" s="117" t="s">
        <v>727</v>
      </c>
      <c r="D528" s="118" t="s">
        <v>1179</v>
      </c>
      <c r="E528" s="118" t="s">
        <v>1180</v>
      </c>
      <c r="F528" s="118" t="s">
        <v>1180</v>
      </c>
    </row>
    <row r="529" spans="2:6">
      <c r="B529" s="116">
        <v>613</v>
      </c>
      <c r="D529" s="118" t="s">
        <v>1181</v>
      </c>
      <c r="E529" s="118" t="s">
        <v>1182</v>
      </c>
      <c r="F529" s="118" t="s">
        <v>1182</v>
      </c>
    </row>
    <row r="530" spans="2:6">
      <c r="B530" s="116">
        <v>614</v>
      </c>
      <c r="D530" s="118" t="s">
        <v>1183</v>
      </c>
      <c r="E530" s="118" t="s">
        <v>1184</v>
      </c>
      <c r="F530" s="118" t="s">
        <v>1184</v>
      </c>
    </row>
    <row r="531" spans="2:6">
      <c r="B531" s="116">
        <v>615</v>
      </c>
      <c r="D531" s="118" t="s">
        <v>1185</v>
      </c>
      <c r="E531" s="118" t="s">
        <v>1182</v>
      </c>
      <c r="F531" s="118" t="s">
        <v>1182</v>
      </c>
    </row>
    <row r="532" spans="2:6">
      <c r="B532" s="116">
        <v>616</v>
      </c>
      <c r="D532" s="118" t="s">
        <v>1186</v>
      </c>
      <c r="E532" s="118" t="s">
        <v>1187</v>
      </c>
      <c r="F532" s="118" t="s">
        <v>1187</v>
      </c>
    </row>
    <row r="533" spans="2:6">
      <c r="B533" s="116">
        <v>617</v>
      </c>
      <c r="D533" s="118" t="s">
        <v>1188</v>
      </c>
      <c r="E533" s="118" t="s">
        <v>1189</v>
      </c>
      <c r="F533" s="118" t="s">
        <v>1189</v>
      </c>
    </row>
    <row r="534" spans="2:6">
      <c r="B534" s="116">
        <v>618</v>
      </c>
      <c r="D534" s="118" t="s">
        <v>1190</v>
      </c>
      <c r="E534" s="118" t="s">
        <v>1191</v>
      </c>
      <c r="F534" s="118" t="s">
        <v>1191</v>
      </c>
    </row>
    <row r="535" spans="2:6">
      <c r="B535" s="116">
        <v>619</v>
      </c>
      <c r="D535" s="118" t="s">
        <v>1192</v>
      </c>
      <c r="E535" s="118" t="s">
        <v>1193</v>
      </c>
      <c r="F535" s="118" t="s">
        <v>1193</v>
      </c>
    </row>
    <row r="536" spans="2:6">
      <c r="B536" s="116">
        <v>620</v>
      </c>
      <c r="D536" s="118" t="s">
        <v>1194</v>
      </c>
      <c r="E536" s="118" t="s">
        <v>1195</v>
      </c>
      <c r="F536" s="118" t="s">
        <v>1195</v>
      </c>
    </row>
    <row r="537" spans="2:6" ht="36">
      <c r="B537" s="116">
        <v>621</v>
      </c>
      <c r="C537" s="117" t="s">
        <v>198</v>
      </c>
      <c r="D537" s="118" t="s">
        <v>1196</v>
      </c>
      <c r="E537" s="118" t="s">
        <v>1197</v>
      </c>
      <c r="F537" s="118" t="s">
        <v>1197</v>
      </c>
    </row>
    <row r="538" spans="2:6" ht="36">
      <c r="B538" s="116">
        <v>622</v>
      </c>
      <c r="C538" s="117" t="s">
        <v>198</v>
      </c>
      <c r="D538" s="118" t="s">
        <v>1198</v>
      </c>
      <c r="E538" s="118" t="s">
        <v>1199</v>
      </c>
      <c r="F538" s="118" t="s">
        <v>1199</v>
      </c>
    </row>
    <row r="539" spans="2:6">
      <c r="B539" s="116">
        <v>623</v>
      </c>
      <c r="D539" s="118" t="s">
        <v>1200</v>
      </c>
      <c r="E539" s="118" t="s">
        <v>1201</v>
      </c>
      <c r="F539" s="118" t="s">
        <v>1201</v>
      </c>
    </row>
    <row r="540" spans="2:6">
      <c r="B540" s="116">
        <v>624</v>
      </c>
      <c r="D540" s="118" t="s">
        <v>1202</v>
      </c>
      <c r="E540" s="118" t="s">
        <v>1203</v>
      </c>
      <c r="F540" s="118" t="s">
        <v>1203</v>
      </c>
    </row>
    <row r="541" spans="2:6">
      <c r="B541" s="116">
        <v>625</v>
      </c>
      <c r="D541" s="118" t="s">
        <v>1204</v>
      </c>
      <c r="E541" s="118" t="s">
        <v>1204</v>
      </c>
      <c r="F541" s="118" t="s">
        <v>1204</v>
      </c>
    </row>
    <row r="542" spans="2:6">
      <c r="B542" s="116">
        <v>626</v>
      </c>
      <c r="D542" s="118" t="s">
        <v>1205</v>
      </c>
      <c r="F542" s="118"/>
    </row>
    <row r="543" spans="2:6">
      <c r="B543" s="116">
        <v>627</v>
      </c>
      <c r="D543" s="118" t="s">
        <v>1206</v>
      </c>
      <c r="F543" s="118"/>
    </row>
    <row r="544" spans="2:6">
      <c r="B544" s="116">
        <v>628</v>
      </c>
      <c r="D544" s="118" t="s">
        <v>1207</v>
      </c>
      <c r="E544" s="118" t="s">
        <v>13</v>
      </c>
      <c r="F544" s="118" t="s">
        <v>13</v>
      </c>
    </row>
    <row r="545" spans="1:6">
      <c r="B545" s="116">
        <v>629</v>
      </c>
      <c r="D545" s="118" t="s">
        <v>1208</v>
      </c>
      <c r="E545" s="118" t="s">
        <v>1209</v>
      </c>
      <c r="F545" s="118" t="s">
        <v>1209</v>
      </c>
    </row>
    <row r="546" spans="1:6">
      <c r="B546" s="116">
        <v>630</v>
      </c>
      <c r="D546" s="118" t="s">
        <v>1210</v>
      </c>
      <c r="E546" s="118" t="s">
        <v>1211</v>
      </c>
      <c r="F546" s="118" t="s">
        <v>1211</v>
      </c>
    </row>
    <row r="547" spans="1:6">
      <c r="B547" s="116">
        <v>631</v>
      </c>
      <c r="D547" s="118" t="s">
        <v>1212</v>
      </c>
      <c r="E547" s="118" t="s">
        <v>1213</v>
      </c>
      <c r="F547" s="118" t="s">
        <v>1213</v>
      </c>
    </row>
    <row r="548" spans="1:6">
      <c r="B548" s="116">
        <v>632</v>
      </c>
      <c r="D548" s="118" t="s">
        <v>1214</v>
      </c>
      <c r="E548" s="118" t="s">
        <v>1215</v>
      </c>
      <c r="F548" s="118" t="s">
        <v>1215</v>
      </c>
    </row>
    <row r="549" spans="1:6">
      <c r="B549" s="116">
        <v>633</v>
      </c>
      <c r="D549" s="118" t="s">
        <v>1216</v>
      </c>
      <c r="E549" s="118" t="s">
        <v>1213</v>
      </c>
      <c r="F549" s="118" t="s">
        <v>1213</v>
      </c>
    </row>
    <row r="550" spans="1:6" ht="24">
      <c r="A550" s="119"/>
      <c r="B550" s="116">
        <v>634</v>
      </c>
      <c r="C550" s="119"/>
      <c r="D550" s="119" t="s">
        <v>1217</v>
      </c>
      <c r="E550" s="119" t="s">
        <v>1218</v>
      </c>
      <c r="F550" s="119" t="s">
        <v>1218</v>
      </c>
    </row>
    <row r="551" spans="1:6">
      <c r="B551" s="116">
        <v>635</v>
      </c>
      <c r="C551" s="117" t="s">
        <v>198</v>
      </c>
      <c r="D551" s="118" t="s">
        <v>1219</v>
      </c>
      <c r="E551" s="118" t="s">
        <v>1220</v>
      </c>
      <c r="F551" s="118" t="s">
        <v>1220</v>
      </c>
    </row>
    <row r="552" spans="1:6">
      <c r="B552" s="116">
        <v>636</v>
      </c>
      <c r="C552" s="117" t="s">
        <v>198</v>
      </c>
      <c r="D552" s="118" t="s">
        <v>1221</v>
      </c>
      <c r="E552" s="118" t="s">
        <v>1222</v>
      </c>
      <c r="F552" s="118" t="s">
        <v>1222</v>
      </c>
    </row>
    <row r="553" spans="1:6">
      <c r="B553" s="116">
        <v>637</v>
      </c>
      <c r="D553" s="118" t="s">
        <v>1223</v>
      </c>
      <c r="E553" s="118" t="s">
        <v>1223</v>
      </c>
      <c r="F553" s="118" t="s">
        <v>1223</v>
      </c>
    </row>
    <row r="554" spans="1:6">
      <c r="B554" s="116">
        <v>638</v>
      </c>
      <c r="D554" s="118" t="s">
        <v>1224</v>
      </c>
      <c r="E554" s="118" t="s">
        <v>1225</v>
      </c>
      <c r="F554" s="118" t="s">
        <v>1225</v>
      </c>
    </row>
    <row r="555" spans="1:6">
      <c r="B555" s="116">
        <v>639</v>
      </c>
      <c r="D555" s="118" t="s">
        <v>1226</v>
      </c>
      <c r="E555" s="118" t="s">
        <v>1227</v>
      </c>
      <c r="F555" s="118" t="s">
        <v>1227</v>
      </c>
    </row>
    <row r="556" spans="1:6">
      <c r="B556" s="116">
        <v>640</v>
      </c>
      <c r="D556" s="118" t="s">
        <v>1228</v>
      </c>
      <c r="E556" s="118" t="s">
        <v>1229</v>
      </c>
      <c r="F556" s="118" t="s">
        <v>1229</v>
      </c>
    </row>
    <row r="557" spans="1:6" ht="24">
      <c r="B557" s="116">
        <v>641</v>
      </c>
      <c r="C557" s="117" t="s">
        <v>198</v>
      </c>
      <c r="D557" s="118" t="s">
        <v>1230</v>
      </c>
      <c r="E557" s="118" t="s">
        <v>1231</v>
      </c>
      <c r="F557" s="118" t="s">
        <v>1231</v>
      </c>
    </row>
    <row r="558" spans="1:6">
      <c r="B558" s="116">
        <v>642</v>
      </c>
      <c r="D558" s="118" t="s">
        <v>1232</v>
      </c>
      <c r="E558" s="118" t="s">
        <v>1233</v>
      </c>
      <c r="F558" s="118" t="s">
        <v>1233</v>
      </c>
    </row>
    <row r="559" spans="1:6" ht="36">
      <c r="B559" s="116">
        <v>643</v>
      </c>
      <c r="C559" s="117" t="s">
        <v>198</v>
      </c>
      <c r="D559" s="118" t="s">
        <v>1234</v>
      </c>
      <c r="E559" s="118" t="s">
        <v>1235</v>
      </c>
      <c r="F559" s="118" t="s">
        <v>1235</v>
      </c>
    </row>
    <row r="560" spans="1:6">
      <c r="B560" s="116">
        <v>644</v>
      </c>
      <c r="D560" s="118" t="s">
        <v>1236</v>
      </c>
      <c r="E560" s="118" t="s">
        <v>1237</v>
      </c>
      <c r="F560" s="118" t="s">
        <v>1237</v>
      </c>
    </row>
    <row r="561" spans="2:27">
      <c r="B561" s="116">
        <v>645</v>
      </c>
      <c r="D561" s="118" t="s">
        <v>1238</v>
      </c>
      <c r="E561" s="118" t="s">
        <v>1239</v>
      </c>
      <c r="F561" s="118" t="s">
        <v>1239</v>
      </c>
    </row>
    <row r="562" spans="2:27">
      <c r="B562" s="116">
        <v>646</v>
      </c>
      <c r="D562" s="118" t="s">
        <v>1240</v>
      </c>
      <c r="E562" s="118" t="s">
        <v>1241</v>
      </c>
      <c r="F562" s="118" t="s">
        <v>1241</v>
      </c>
    </row>
    <row r="563" spans="2:27" ht="24">
      <c r="B563" s="116">
        <v>647</v>
      </c>
      <c r="D563" s="118" t="s">
        <v>1242</v>
      </c>
      <c r="E563" s="118" t="s">
        <v>1243</v>
      </c>
      <c r="F563" s="118" t="s">
        <v>1243</v>
      </c>
    </row>
    <row r="564" spans="2:27">
      <c r="B564" s="116">
        <v>648</v>
      </c>
      <c r="D564" s="118" t="s">
        <v>1244</v>
      </c>
      <c r="E564" s="118" t="s">
        <v>1239</v>
      </c>
      <c r="F564" s="118" t="s">
        <v>1239</v>
      </c>
    </row>
    <row r="565" spans="2:27">
      <c r="B565" s="116">
        <v>649</v>
      </c>
      <c r="D565" s="118" t="s">
        <v>1245</v>
      </c>
      <c r="E565" s="118" t="s">
        <v>1246</v>
      </c>
      <c r="F565" s="118" t="s">
        <v>1246</v>
      </c>
    </row>
    <row r="566" spans="2:27">
      <c r="B566" s="116">
        <v>650</v>
      </c>
      <c r="D566" s="118" t="s">
        <v>1247</v>
      </c>
      <c r="E566" s="118" t="s">
        <v>1248</v>
      </c>
      <c r="F566" s="118" t="s">
        <v>1248</v>
      </c>
    </row>
    <row r="567" spans="2:27">
      <c r="B567" s="116">
        <v>651</v>
      </c>
      <c r="D567" s="118" t="s">
        <v>1249</v>
      </c>
      <c r="E567" s="118" t="s">
        <v>1250</v>
      </c>
      <c r="F567" s="118" t="s">
        <v>1250</v>
      </c>
    </row>
    <row r="568" spans="2:27">
      <c r="B568" s="116">
        <v>652</v>
      </c>
      <c r="D568" s="118" t="s">
        <v>1251</v>
      </c>
      <c r="E568" s="118" t="s">
        <v>1252</v>
      </c>
      <c r="F568" s="118" t="s">
        <v>1252</v>
      </c>
      <c r="G568" s="119"/>
      <c r="H568" s="119"/>
      <c r="I568" s="119"/>
      <c r="J568" s="119"/>
      <c r="K568" s="119"/>
      <c r="L568" s="119"/>
      <c r="M568" s="119"/>
      <c r="N568" s="119"/>
      <c r="O568" s="119"/>
      <c r="P568" s="119"/>
      <c r="Q568" s="119"/>
      <c r="R568" s="119"/>
      <c r="S568" s="119"/>
      <c r="T568" s="119"/>
      <c r="U568" s="119"/>
      <c r="V568" s="119"/>
      <c r="W568" s="119"/>
      <c r="X568" s="119"/>
      <c r="Y568" s="119"/>
      <c r="Z568" s="119"/>
      <c r="AA568" s="119"/>
    </row>
    <row r="569" spans="2:27" ht="24">
      <c r="B569" s="116">
        <v>653</v>
      </c>
      <c r="D569" s="118" t="s">
        <v>1253</v>
      </c>
      <c r="E569" s="118" t="s">
        <v>1254</v>
      </c>
      <c r="F569" s="118" t="s">
        <v>1254</v>
      </c>
      <c r="G569" s="119"/>
      <c r="H569" s="119"/>
      <c r="I569" s="119"/>
      <c r="J569" s="119"/>
      <c r="K569" s="119"/>
      <c r="L569" s="119"/>
      <c r="M569" s="119"/>
      <c r="N569" s="119"/>
      <c r="O569" s="119"/>
      <c r="P569" s="119"/>
      <c r="Q569" s="119"/>
      <c r="R569" s="119"/>
      <c r="S569" s="119"/>
      <c r="T569" s="119"/>
      <c r="U569" s="119"/>
      <c r="V569" s="119"/>
      <c r="W569" s="119"/>
      <c r="X569" s="119"/>
      <c r="Y569" s="119"/>
      <c r="Z569" s="119"/>
      <c r="AA569" s="119"/>
    </row>
    <row r="570" spans="2:27">
      <c r="B570" s="116">
        <v>654</v>
      </c>
      <c r="D570" s="118" t="s">
        <v>1255</v>
      </c>
      <c r="E570" s="118" t="s">
        <v>1237</v>
      </c>
      <c r="F570" s="118" t="s">
        <v>1237</v>
      </c>
      <c r="G570" s="120"/>
      <c r="H570" s="120"/>
      <c r="I570" s="120"/>
      <c r="J570" s="120"/>
      <c r="K570" s="120"/>
      <c r="L570" s="120"/>
      <c r="M570" s="120"/>
      <c r="N570" s="120"/>
      <c r="O570" s="120"/>
      <c r="P570" s="120"/>
      <c r="Q570" s="120"/>
      <c r="R570" s="120"/>
      <c r="S570" s="120"/>
      <c r="T570" s="120"/>
      <c r="U570" s="120"/>
      <c r="V570" s="120"/>
      <c r="W570" s="120"/>
      <c r="X570" s="120"/>
      <c r="Y570" s="120"/>
      <c r="Z570" s="120"/>
      <c r="AA570" s="120"/>
    </row>
    <row r="571" spans="2:27" ht="24">
      <c r="B571" s="116">
        <v>655</v>
      </c>
      <c r="C571" s="117" t="s">
        <v>198</v>
      </c>
      <c r="D571" s="118" t="s">
        <v>1256</v>
      </c>
      <c r="E571" s="118" t="s">
        <v>1257</v>
      </c>
      <c r="F571" s="118" t="s">
        <v>1257</v>
      </c>
    </row>
    <row r="572" spans="2:27" ht="24">
      <c r="B572" s="116">
        <v>656</v>
      </c>
      <c r="D572" s="118" t="s">
        <v>1258</v>
      </c>
      <c r="E572" s="118" t="s">
        <v>1259</v>
      </c>
      <c r="F572" s="118" t="s">
        <v>1259</v>
      </c>
      <c r="G572" s="120"/>
      <c r="H572" s="120"/>
      <c r="I572" s="120"/>
      <c r="J572" s="120"/>
      <c r="K572" s="120"/>
      <c r="L572" s="120"/>
      <c r="M572" s="120"/>
      <c r="N572" s="120"/>
      <c r="O572" s="120"/>
      <c r="P572" s="120"/>
      <c r="Q572" s="120"/>
      <c r="R572" s="120"/>
      <c r="S572" s="120"/>
      <c r="T572" s="120"/>
      <c r="U572" s="120"/>
      <c r="V572" s="120"/>
      <c r="W572" s="120"/>
      <c r="X572" s="120"/>
      <c r="Y572" s="120"/>
      <c r="Z572" s="120"/>
      <c r="AA572" s="120"/>
    </row>
    <row r="573" spans="2:27" ht="36">
      <c r="B573" s="116">
        <v>657</v>
      </c>
      <c r="D573" s="118" t="s">
        <v>1260</v>
      </c>
      <c r="E573" s="118" t="s">
        <v>1261</v>
      </c>
      <c r="F573" s="118" t="s">
        <v>1261</v>
      </c>
      <c r="G573" s="120"/>
      <c r="H573" s="120"/>
      <c r="I573" s="120"/>
      <c r="J573" s="120"/>
      <c r="K573" s="120"/>
      <c r="L573" s="120"/>
      <c r="M573" s="120"/>
      <c r="N573" s="120"/>
      <c r="O573" s="120"/>
      <c r="P573" s="120"/>
      <c r="Q573" s="120"/>
      <c r="R573" s="120"/>
      <c r="S573" s="120"/>
      <c r="T573" s="120"/>
      <c r="U573" s="120"/>
      <c r="V573" s="120"/>
      <c r="W573" s="120"/>
      <c r="X573" s="120"/>
      <c r="Y573" s="120"/>
      <c r="Z573" s="120"/>
      <c r="AA573" s="120"/>
    </row>
    <row r="574" spans="2:27">
      <c r="B574" s="116">
        <v>658</v>
      </c>
      <c r="D574" s="118" t="s">
        <v>1262</v>
      </c>
      <c r="E574" s="118" t="s">
        <v>1263</v>
      </c>
      <c r="F574" s="118" t="s">
        <v>1263</v>
      </c>
      <c r="G574" s="120"/>
      <c r="H574" s="120"/>
      <c r="I574" s="120"/>
      <c r="J574" s="120"/>
      <c r="K574" s="120"/>
      <c r="L574" s="120"/>
      <c r="M574" s="120"/>
      <c r="N574" s="120"/>
      <c r="O574" s="120"/>
      <c r="P574" s="120"/>
      <c r="Q574" s="120"/>
      <c r="R574" s="120"/>
      <c r="S574" s="120"/>
      <c r="T574" s="120"/>
      <c r="U574" s="120"/>
      <c r="V574" s="120"/>
      <c r="W574" s="120"/>
      <c r="X574" s="120"/>
      <c r="Y574" s="120"/>
      <c r="Z574" s="120"/>
      <c r="AA574" s="120"/>
    </row>
    <row r="575" spans="2:27" ht="36">
      <c r="B575" s="116">
        <v>659</v>
      </c>
      <c r="D575" s="118" t="s">
        <v>1264</v>
      </c>
      <c r="E575" s="118" t="s">
        <v>1265</v>
      </c>
      <c r="F575" s="118" t="s">
        <v>1265</v>
      </c>
      <c r="G575" s="120"/>
      <c r="H575" s="120"/>
      <c r="I575" s="120"/>
      <c r="J575" s="120"/>
      <c r="K575" s="120"/>
      <c r="L575" s="120"/>
      <c r="M575" s="120"/>
      <c r="N575" s="120"/>
      <c r="O575" s="120"/>
      <c r="P575" s="120"/>
      <c r="Q575" s="120"/>
      <c r="R575" s="120"/>
      <c r="S575" s="120"/>
      <c r="T575" s="120"/>
      <c r="U575" s="120"/>
      <c r="V575" s="120"/>
      <c r="W575" s="120"/>
      <c r="X575" s="120"/>
      <c r="Y575" s="120"/>
      <c r="Z575" s="120"/>
      <c r="AA575" s="120"/>
    </row>
    <row r="576" spans="2:27">
      <c r="B576" s="116">
        <v>660</v>
      </c>
      <c r="D576" s="118" t="s">
        <v>1266</v>
      </c>
      <c r="E576" s="118" t="s">
        <v>1267</v>
      </c>
      <c r="F576" s="118" t="s">
        <v>1267</v>
      </c>
      <c r="G576" s="120"/>
      <c r="H576" s="120"/>
      <c r="I576" s="120"/>
      <c r="J576" s="120"/>
      <c r="K576" s="120"/>
      <c r="L576" s="120"/>
      <c r="M576" s="120"/>
      <c r="N576" s="120"/>
      <c r="O576" s="120"/>
      <c r="P576" s="120"/>
      <c r="Q576" s="120"/>
      <c r="R576" s="120"/>
      <c r="S576" s="120"/>
      <c r="T576" s="120"/>
      <c r="U576" s="120"/>
      <c r="V576" s="120"/>
      <c r="W576" s="120"/>
      <c r="X576" s="120"/>
      <c r="Y576" s="120"/>
      <c r="Z576" s="120"/>
      <c r="AA576" s="120"/>
    </row>
    <row r="577" spans="2:27">
      <c r="B577" s="116">
        <v>661</v>
      </c>
      <c r="D577" s="118" t="s">
        <v>1268</v>
      </c>
      <c r="E577" s="118" t="s">
        <v>1269</v>
      </c>
      <c r="F577" s="118" t="s">
        <v>1269</v>
      </c>
      <c r="G577" s="120"/>
      <c r="H577" s="120"/>
      <c r="I577" s="120"/>
      <c r="J577" s="120"/>
      <c r="K577" s="120"/>
      <c r="L577" s="120"/>
      <c r="M577" s="120"/>
      <c r="N577" s="120"/>
      <c r="O577" s="120"/>
      <c r="P577" s="120"/>
      <c r="Q577" s="120"/>
      <c r="R577" s="120"/>
      <c r="S577" s="120"/>
      <c r="T577" s="120"/>
      <c r="U577" s="120"/>
      <c r="V577" s="120"/>
      <c r="W577" s="120"/>
      <c r="X577" s="120"/>
      <c r="Y577" s="120"/>
      <c r="Z577" s="120"/>
      <c r="AA577" s="120"/>
    </row>
    <row r="578" spans="2:27">
      <c r="B578" s="116">
        <v>662</v>
      </c>
      <c r="D578" s="118" t="s">
        <v>1270</v>
      </c>
      <c r="E578" s="118" t="s">
        <v>1271</v>
      </c>
      <c r="F578" s="118" t="s">
        <v>1271</v>
      </c>
      <c r="G578" s="120"/>
      <c r="H578" s="120"/>
      <c r="I578" s="120"/>
      <c r="J578" s="120"/>
      <c r="K578" s="120"/>
      <c r="L578" s="120"/>
      <c r="M578" s="120"/>
      <c r="N578" s="120"/>
      <c r="O578" s="120"/>
      <c r="P578" s="120"/>
      <c r="Q578" s="120"/>
      <c r="R578" s="120"/>
      <c r="S578" s="120"/>
      <c r="T578" s="120"/>
      <c r="U578" s="120"/>
      <c r="V578" s="120"/>
      <c r="W578" s="120"/>
      <c r="X578" s="120"/>
      <c r="Y578" s="120"/>
      <c r="Z578" s="120"/>
      <c r="AA578" s="120"/>
    </row>
    <row r="579" spans="2:27">
      <c r="B579" s="116">
        <v>663</v>
      </c>
      <c r="D579" s="118" t="s">
        <v>1272</v>
      </c>
      <c r="E579" s="118" t="s">
        <v>1273</v>
      </c>
      <c r="F579" s="118" t="s">
        <v>1273</v>
      </c>
      <c r="G579" s="120"/>
      <c r="H579" s="120"/>
      <c r="I579" s="120"/>
      <c r="J579" s="120"/>
      <c r="K579" s="120"/>
      <c r="L579" s="120"/>
      <c r="M579" s="120"/>
      <c r="N579" s="120"/>
      <c r="O579" s="120"/>
      <c r="P579" s="120"/>
      <c r="Q579" s="120"/>
      <c r="R579" s="120"/>
      <c r="S579" s="120"/>
      <c r="T579" s="120"/>
      <c r="U579" s="120"/>
      <c r="V579" s="120"/>
      <c r="W579" s="120"/>
      <c r="X579" s="120"/>
      <c r="Y579" s="120"/>
      <c r="Z579" s="120"/>
      <c r="AA579" s="120"/>
    </row>
    <row r="580" spans="2:27">
      <c r="B580" s="116">
        <v>664</v>
      </c>
      <c r="D580" s="118" t="s">
        <v>1274</v>
      </c>
      <c r="E580" s="118" t="s">
        <v>1275</v>
      </c>
      <c r="F580" s="118" t="s">
        <v>1275</v>
      </c>
      <c r="G580" s="120"/>
      <c r="H580" s="120"/>
      <c r="I580" s="120"/>
      <c r="J580" s="120"/>
      <c r="K580" s="120"/>
      <c r="L580" s="120"/>
      <c r="M580" s="120"/>
      <c r="N580" s="120"/>
      <c r="O580" s="120"/>
      <c r="P580" s="120"/>
      <c r="Q580" s="120"/>
      <c r="R580" s="120"/>
      <c r="S580" s="120"/>
      <c r="T580" s="120"/>
      <c r="U580" s="120"/>
      <c r="V580" s="120"/>
      <c r="W580" s="120"/>
      <c r="X580" s="120"/>
      <c r="Y580" s="120"/>
      <c r="Z580" s="120"/>
      <c r="AA580" s="120"/>
    </row>
    <row r="581" spans="2:27">
      <c r="B581" s="116">
        <v>665</v>
      </c>
      <c r="D581" s="118" t="s">
        <v>1276</v>
      </c>
      <c r="E581" s="118" t="s">
        <v>1277</v>
      </c>
      <c r="F581" s="118" t="s">
        <v>1277</v>
      </c>
      <c r="G581" s="120"/>
      <c r="H581" s="120"/>
      <c r="I581" s="120"/>
      <c r="J581" s="120"/>
      <c r="K581" s="120"/>
      <c r="L581" s="120"/>
      <c r="M581" s="120"/>
      <c r="N581" s="120"/>
      <c r="O581" s="120"/>
      <c r="P581" s="120"/>
      <c r="Q581" s="120"/>
      <c r="R581" s="120"/>
      <c r="S581" s="120"/>
      <c r="T581" s="120"/>
      <c r="U581" s="120"/>
      <c r="V581" s="120"/>
      <c r="W581" s="120"/>
      <c r="X581" s="120"/>
      <c r="Y581" s="120"/>
      <c r="Z581" s="120"/>
      <c r="AA581" s="120"/>
    </row>
    <row r="582" spans="2:27">
      <c r="B582" s="116">
        <v>666</v>
      </c>
      <c r="D582" s="118" t="s">
        <v>1278</v>
      </c>
      <c r="E582" s="118" t="s">
        <v>1279</v>
      </c>
      <c r="F582" s="118" t="s">
        <v>1279</v>
      </c>
    </row>
    <row r="583" spans="2:27">
      <c r="B583" s="116">
        <v>667</v>
      </c>
      <c r="D583" s="118" t="s">
        <v>1280</v>
      </c>
      <c r="E583" s="118" t="s">
        <v>1281</v>
      </c>
      <c r="F583" s="118" t="s">
        <v>1281</v>
      </c>
    </row>
    <row r="584" spans="2:27">
      <c r="B584" s="116">
        <v>668</v>
      </c>
      <c r="D584" s="118" t="s">
        <v>1282</v>
      </c>
      <c r="E584" s="118" t="s">
        <v>1283</v>
      </c>
      <c r="F584" s="118" t="s">
        <v>1283</v>
      </c>
    </row>
    <row r="585" spans="2:27">
      <c r="B585" s="116">
        <v>669</v>
      </c>
      <c r="D585" s="118" t="s">
        <v>1284</v>
      </c>
      <c r="E585" s="118" t="s">
        <v>1285</v>
      </c>
      <c r="F585" s="118" t="s">
        <v>1285</v>
      </c>
    </row>
    <row r="586" spans="2:27">
      <c r="B586" s="116">
        <v>670</v>
      </c>
      <c r="D586" s="118" t="s">
        <v>1286</v>
      </c>
      <c r="E586" s="118" t="s">
        <v>1287</v>
      </c>
      <c r="F586" s="118" t="s">
        <v>1287</v>
      </c>
    </row>
    <row r="587" spans="2:27">
      <c r="B587" s="116">
        <v>671</v>
      </c>
      <c r="D587" s="118" t="s">
        <v>1288</v>
      </c>
      <c r="E587" s="118" t="s">
        <v>1289</v>
      </c>
      <c r="F587" s="118" t="s">
        <v>1289</v>
      </c>
    </row>
    <row r="588" spans="2:27">
      <c r="B588" s="116">
        <v>672</v>
      </c>
      <c r="D588" s="118" t="s">
        <v>1290</v>
      </c>
      <c r="E588" s="118" t="s">
        <v>1291</v>
      </c>
      <c r="F588" s="118" t="s">
        <v>1291</v>
      </c>
    </row>
    <row r="589" spans="2:27">
      <c r="B589" s="116">
        <v>673</v>
      </c>
      <c r="D589" s="118" t="s">
        <v>1292</v>
      </c>
      <c r="E589" s="118" t="s">
        <v>1293</v>
      </c>
      <c r="F589" s="118" t="s">
        <v>1293</v>
      </c>
    </row>
    <row r="590" spans="2:27">
      <c r="B590" s="116">
        <v>674</v>
      </c>
      <c r="D590" s="118" t="s">
        <v>1294</v>
      </c>
      <c r="E590" s="118" t="s">
        <v>1295</v>
      </c>
      <c r="F590" s="118" t="s">
        <v>1295</v>
      </c>
    </row>
    <row r="591" spans="2:27">
      <c r="B591" s="116">
        <v>675</v>
      </c>
      <c r="D591" s="118" t="s">
        <v>1296</v>
      </c>
      <c r="E591" s="118" t="s">
        <v>1297</v>
      </c>
      <c r="F591" s="118" t="s">
        <v>1297</v>
      </c>
    </row>
    <row r="592" spans="2:27">
      <c r="B592" s="116">
        <v>676</v>
      </c>
      <c r="D592" s="118" t="s">
        <v>1298</v>
      </c>
      <c r="E592" s="118" t="s">
        <v>1299</v>
      </c>
      <c r="F592" s="118" t="s">
        <v>1299</v>
      </c>
    </row>
    <row r="593" spans="2:6">
      <c r="B593" s="116">
        <v>677</v>
      </c>
      <c r="D593" s="118" t="s">
        <v>1300</v>
      </c>
      <c r="E593" s="118" t="s">
        <v>1301</v>
      </c>
      <c r="F593" s="115" t="s">
        <v>1301</v>
      </c>
    </row>
    <row r="594" spans="2:6">
      <c r="B594" s="116">
        <v>678</v>
      </c>
      <c r="D594" s="118" t="s">
        <v>1302</v>
      </c>
      <c r="E594" s="118" t="s">
        <v>1303</v>
      </c>
      <c r="F594" s="118" t="s">
        <v>1303</v>
      </c>
    </row>
    <row r="595" spans="2:6">
      <c r="B595" s="116">
        <v>679</v>
      </c>
      <c r="D595" s="118" t="s">
        <v>1304</v>
      </c>
      <c r="E595" s="118" t="s">
        <v>1305</v>
      </c>
      <c r="F595" s="118" t="s">
        <v>1305</v>
      </c>
    </row>
    <row r="596" spans="2:6">
      <c r="B596" s="116">
        <v>680</v>
      </c>
      <c r="D596" s="118" t="s">
        <v>1306</v>
      </c>
      <c r="E596" s="133" t="s">
        <v>43</v>
      </c>
      <c r="F596" s="133" t="s">
        <v>43</v>
      </c>
    </row>
    <row r="597" spans="2:6">
      <c r="B597" s="116">
        <v>681</v>
      </c>
      <c r="D597" s="118" t="s">
        <v>1307</v>
      </c>
      <c r="E597" s="133" t="s">
        <v>45</v>
      </c>
      <c r="F597" s="133" t="s">
        <v>45</v>
      </c>
    </row>
    <row r="598" spans="2:6">
      <c r="B598" s="116">
        <v>682</v>
      </c>
      <c r="D598" s="118" t="s">
        <v>1308</v>
      </c>
      <c r="E598" s="135" t="s">
        <v>46</v>
      </c>
      <c r="F598" s="135" t="s">
        <v>46</v>
      </c>
    </row>
    <row r="599" spans="2:6">
      <c r="B599" s="116">
        <v>683</v>
      </c>
      <c r="D599" s="118" t="s">
        <v>1309</v>
      </c>
      <c r="E599" s="135" t="s">
        <v>47</v>
      </c>
      <c r="F599" s="135" t="s">
        <v>47</v>
      </c>
    </row>
    <row r="600" spans="2:6">
      <c r="B600" s="116">
        <v>684</v>
      </c>
      <c r="D600" s="118" t="s">
        <v>1310</v>
      </c>
      <c r="E600" s="118" t="s">
        <v>1311</v>
      </c>
      <c r="F600" s="118" t="s">
        <v>1311</v>
      </c>
    </row>
  </sheetData>
  <sortState xmlns:xlrd2="http://schemas.microsoft.com/office/spreadsheetml/2017/richdata2" ref="A17:AA581">
    <sortCondition ref="D17:D581"/>
  </sortState>
  <phoneticPr fontId="11" type="noConversion"/>
  <hyperlinks>
    <hyperlink ref="E600" r:id="rId1" xr:uid="{00000000-0004-0000-0500-000000000000}"/>
    <hyperlink ref="F600" r:id="rId2" xr:uid="{00000000-0004-0000-0500-000001000000}"/>
  </hyperlinks>
  <pageMargins left="0.7" right="0.7" top="0.75" bottom="0.75" header="0.3" footer="0.3"/>
  <pageSetup paperSize="9" orientation="portrait"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dimension ref="A1:AD133"/>
  <sheetViews>
    <sheetView zoomScale="81" zoomScaleNormal="81" workbookViewId="0">
      <selection activeCell="D7" sqref="D7"/>
    </sheetView>
  </sheetViews>
  <sheetFormatPr defaultColWidth="10.625" defaultRowHeight="15"/>
  <cols>
    <col min="1" max="1" width="9.5" style="99" bestFit="1" customWidth="1"/>
    <col min="2" max="2" width="6.875" style="99" bestFit="1" customWidth="1"/>
    <col min="3" max="12" width="11.375" style="99" bestFit="1" customWidth="1"/>
    <col min="13" max="13" width="27.125" style="99" bestFit="1" customWidth="1"/>
    <col min="14" max="14" width="9.125" style="99" bestFit="1" customWidth="1"/>
    <col min="15" max="16" width="10.5" style="99" bestFit="1" customWidth="1"/>
    <col min="17" max="17" width="15.5" style="99" bestFit="1" customWidth="1"/>
    <col min="18" max="18" width="17.125" style="99" bestFit="1" customWidth="1"/>
    <col min="19" max="19" width="13.25" style="271" bestFit="1" customWidth="1"/>
    <col min="20" max="20" width="19.875" style="99" bestFit="1" customWidth="1"/>
    <col min="21" max="21" width="14.375" style="99" bestFit="1" customWidth="1"/>
    <col min="22" max="22" width="14.125" style="99" bestFit="1" customWidth="1"/>
    <col min="23" max="23" width="15.5" style="99" bestFit="1" customWidth="1"/>
    <col min="24" max="24" width="19.375" style="142" bestFit="1" customWidth="1"/>
    <col min="25" max="25" width="9.5" style="142" bestFit="1" customWidth="1"/>
    <col min="26" max="26" width="10.875" style="142" bestFit="1" customWidth="1"/>
    <col min="27" max="27" width="10.875" style="99" bestFit="1" customWidth="1"/>
    <col min="28" max="28" width="12.5" style="99" bestFit="1" customWidth="1"/>
    <col min="29" max="29" width="12.875" style="99" bestFit="1" customWidth="1"/>
    <col min="30" max="30" width="15.75" style="99" bestFit="1" customWidth="1"/>
    <col min="31" max="16384" width="10.625" style="99"/>
  </cols>
  <sheetData>
    <row r="1" spans="1:30">
      <c r="A1" s="144" t="s">
        <v>1312</v>
      </c>
      <c r="B1" s="144" t="s">
        <v>1313</v>
      </c>
      <c r="C1" s="144" t="s">
        <v>1314</v>
      </c>
      <c r="D1" s="144" t="s">
        <v>1315</v>
      </c>
      <c r="E1" s="144" t="s">
        <v>1316</v>
      </c>
      <c r="F1" s="144" t="s">
        <v>1317</v>
      </c>
      <c r="G1" s="144" t="s">
        <v>1318</v>
      </c>
      <c r="H1" s="144" t="s">
        <v>1319</v>
      </c>
      <c r="I1" s="144" t="s">
        <v>1320</v>
      </c>
      <c r="J1" s="144" t="s">
        <v>1321</v>
      </c>
      <c r="K1" s="144" t="s">
        <v>1322</v>
      </c>
      <c r="L1" s="144" t="s">
        <v>1323</v>
      </c>
      <c r="M1" s="144" t="s">
        <v>1324</v>
      </c>
      <c r="N1" s="144" t="s">
        <v>1325</v>
      </c>
      <c r="O1" s="144" t="s">
        <v>1326</v>
      </c>
      <c r="P1" s="144" t="s">
        <v>1327</v>
      </c>
      <c r="Q1" s="144" t="s">
        <v>1328</v>
      </c>
      <c r="R1" s="144" t="s">
        <v>1329</v>
      </c>
      <c r="S1" s="270" t="s">
        <v>1330</v>
      </c>
      <c r="T1" s="144" t="s">
        <v>1331</v>
      </c>
      <c r="U1" s="144" t="s">
        <v>1332</v>
      </c>
      <c r="V1" s="144" t="s">
        <v>1333</v>
      </c>
      <c r="W1" s="144" t="s">
        <v>1334</v>
      </c>
      <c r="X1" s="145" t="s">
        <v>1335</v>
      </c>
      <c r="Y1" s="145" t="s">
        <v>1336</v>
      </c>
      <c r="Z1" s="145" t="s">
        <v>1337</v>
      </c>
      <c r="AA1" s="144" t="s">
        <v>1338</v>
      </c>
      <c r="AB1" s="144" t="s">
        <v>1339</v>
      </c>
      <c r="AC1" s="144" t="s">
        <v>1340</v>
      </c>
      <c r="AD1" s="144" t="s">
        <v>1341</v>
      </c>
    </row>
    <row r="2" spans="1:30">
      <c r="A2" s="143" t="s">
        <v>92</v>
      </c>
      <c r="B2" s="143" t="s">
        <v>79</v>
      </c>
      <c r="C2" s="143" t="s">
        <v>76</v>
      </c>
      <c r="D2" s="143" t="s">
        <v>77</v>
      </c>
      <c r="E2" s="143" t="s">
        <v>78</v>
      </c>
      <c r="F2" s="143" t="s">
        <v>79</v>
      </c>
      <c r="M2" s="143" t="s">
        <v>1555</v>
      </c>
      <c r="N2" s="143" t="s">
        <v>1551</v>
      </c>
      <c r="O2" s="141">
        <v>45513</v>
      </c>
      <c r="P2" s="141">
        <v>45520</v>
      </c>
      <c r="Q2" s="141">
        <v>45508</v>
      </c>
      <c r="R2" s="141">
        <v>45514</v>
      </c>
      <c r="S2" s="271">
        <v>32</v>
      </c>
      <c r="T2" s="99">
        <v>6</v>
      </c>
      <c r="U2" s="99">
        <v>1</v>
      </c>
      <c r="V2" s="99">
        <v>0</v>
      </c>
      <c r="W2" s="99">
        <v>0</v>
      </c>
      <c r="X2" s="142">
        <v>1</v>
      </c>
      <c r="Y2" s="142">
        <v>0</v>
      </c>
      <c r="Z2" s="142">
        <v>0</v>
      </c>
      <c r="AC2" s="99">
        <v>0</v>
      </c>
    </row>
    <row r="3" spans="1:30">
      <c r="A3" s="143" t="s">
        <v>92</v>
      </c>
      <c r="B3" s="143" t="s">
        <v>79</v>
      </c>
      <c r="C3" s="143" t="s">
        <v>76</v>
      </c>
      <c r="D3" s="143" t="s">
        <v>77</v>
      </c>
      <c r="E3" s="143" t="s">
        <v>78</v>
      </c>
      <c r="F3" s="143" t="s">
        <v>79</v>
      </c>
      <c r="M3" s="143" t="s">
        <v>1555</v>
      </c>
      <c r="N3" s="143" t="s">
        <v>1551</v>
      </c>
      <c r="O3" s="141">
        <v>45513</v>
      </c>
      <c r="P3" s="141">
        <v>45520</v>
      </c>
      <c r="Q3" s="141">
        <v>45515</v>
      </c>
      <c r="R3" s="141">
        <v>45521</v>
      </c>
      <c r="S3" s="271">
        <v>33</v>
      </c>
      <c r="T3" s="99">
        <v>7</v>
      </c>
      <c r="U3" s="99">
        <v>5</v>
      </c>
      <c r="V3" s="99">
        <v>0</v>
      </c>
      <c r="W3" s="99">
        <v>0</v>
      </c>
      <c r="X3" s="142">
        <v>1</v>
      </c>
      <c r="Y3" s="142">
        <v>0</v>
      </c>
      <c r="Z3" s="142">
        <v>0</v>
      </c>
      <c r="AC3" s="99">
        <v>0</v>
      </c>
    </row>
    <row r="4" spans="1:30">
      <c r="A4" s="143" t="s">
        <v>92</v>
      </c>
      <c r="B4" s="143" t="s">
        <v>80</v>
      </c>
      <c r="C4" s="143" t="s">
        <v>76</v>
      </c>
      <c r="D4" s="143" t="s">
        <v>77</v>
      </c>
      <c r="E4" s="143" t="s">
        <v>78</v>
      </c>
      <c r="F4" s="143" t="s">
        <v>80</v>
      </c>
      <c r="M4" s="143" t="s">
        <v>1556</v>
      </c>
      <c r="N4" s="143" t="s">
        <v>1551</v>
      </c>
      <c r="O4" s="141">
        <v>45513</v>
      </c>
      <c r="P4" s="141">
        <v>45520</v>
      </c>
      <c r="Q4" s="141">
        <v>45508</v>
      </c>
      <c r="R4" s="141">
        <v>45514</v>
      </c>
      <c r="S4" s="271">
        <v>32</v>
      </c>
      <c r="T4" s="99">
        <v>6</v>
      </c>
      <c r="U4" s="99">
        <v>1</v>
      </c>
      <c r="V4" s="99">
        <v>0</v>
      </c>
      <c r="W4" s="99">
        <v>0</v>
      </c>
      <c r="X4" s="142">
        <v>1</v>
      </c>
      <c r="Y4" s="142">
        <v>0</v>
      </c>
      <c r="Z4" s="142">
        <v>0</v>
      </c>
      <c r="AC4" s="99">
        <v>0</v>
      </c>
    </row>
    <row r="5" spans="1:30">
      <c r="A5" s="143" t="s">
        <v>92</v>
      </c>
      <c r="B5" s="143" t="s">
        <v>80</v>
      </c>
      <c r="C5" s="143" t="s">
        <v>76</v>
      </c>
      <c r="D5" s="143" t="s">
        <v>77</v>
      </c>
      <c r="E5" s="143" t="s">
        <v>78</v>
      </c>
      <c r="F5" s="143" t="s">
        <v>80</v>
      </c>
      <c r="M5" s="143" t="s">
        <v>1556</v>
      </c>
      <c r="N5" s="143" t="s">
        <v>1551</v>
      </c>
      <c r="O5" s="141">
        <v>45513</v>
      </c>
      <c r="P5" s="141">
        <v>45520</v>
      </c>
      <c r="Q5" s="141">
        <v>45515</v>
      </c>
      <c r="R5" s="141">
        <v>45521</v>
      </c>
      <c r="S5" s="271">
        <v>33</v>
      </c>
      <c r="T5" s="99">
        <v>7</v>
      </c>
      <c r="U5" s="99">
        <v>5</v>
      </c>
      <c r="V5" s="99">
        <v>0</v>
      </c>
      <c r="W5" s="99">
        <v>0</v>
      </c>
      <c r="X5" s="142">
        <v>1</v>
      </c>
      <c r="Y5" s="142">
        <v>0</v>
      </c>
      <c r="Z5" s="142">
        <v>0</v>
      </c>
      <c r="AC5" s="99">
        <v>0</v>
      </c>
    </row>
    <row r="6" spans="1:30">
      <c r="A6" s="143" t="s">
        <v>92</v>
      </c>
      <c r="B6" s="143" t="s">
        <v>82</v>
      </c>
      <c r="C6" s="143" t="s">
        <v>76</v>
      </c>
      <c r="D6" s="143" t="s">
        <v>77</v>
      </c>
      <c r="E6" s="143" t="s">
        <v>81</v>
      </c>
      <c r="F6" s="143" t="s">
        <v>82</v>
      </c>
      <c r="M6" s="143" t="s">
        <v>1555</v>
      </c>
      <c r="N6" s="143" t="s">
        <v>1610</v>
      </c>
      <c r="O6" s="141">
        <v>45530</v>
      </c>
      <c r="P6" s="141">
        <v>45534</v>
      </c>
      <c r="Q6" s="141">
        <v>45529</v>
      </c>
      <c r="R6" s="141">
        <v>45535</v>
      </c>
      <c r="S6" s="271">
        <v>35</v>
      </c>
      <c r="T6" s="99">
        <v>9</v>
      </c>
      <c r="U6" s="99">
        <v>5</v>
      </c>
      <c r="V6" s="99">
        <v>0</v>
      </c>
      <c r="W6" s="99">
        <v>0</v>
      </c>
      <c r="X6" s="142">
        <v>1</v>
      </c>
      <c r="Y6" s="142">
        <v>0</v>
      </c>
      <c r="Z6" s="142">
        <v>0</v>
      </c>
      <c r="AC6" s="99">
        <v>0</v>
      </c>
    </row>
    <row r="7" spans="1:30">
      <c r="A7" s="143" t="s">
        <v>92</v>
      </c>
      <c r="B7" s="143" t="s">
        <v>83</v>
      </c>
      <c r="C7" s="143" t="s">
        <v>76</v>
      </c>
      <c r="D7" s="143" t="s">
        <v>77</v>
      </c>
      <c r="E7" s="143" t="s">
        <v>81</v>
      </c>
      <c r="F7" s="143" t="s">
        <v>83</v>
      </c>
      <c r="M7" s="143" t="s">
        <v>1556</v>
      </c>
      <c r="N7" s="143" t="s">
        <v>1610</v>
      </c>
      <c r="O7" s="141">
        <v>45530</v>
      </c>
      <c r="P7" s="141">
        <v>45534</v>
      </c>
      <c r="Q7" s="141">
        <v>45529</v>
      </c>
      <c r="R7" s="141">
        <v>45535</v>
      </c>
      <c r="S7" s="271">
        <v>35</v>
      </c>
      <c r="T7" s="99">
        <v>9</v>
      </c>
      <c r="U7" s="99">
        <v>5</v>
      </c>
      <c r="V7" s="99">
        <v>0</v>
      </c>
      <c r="W7" s="99">
        <v>0</v>
      </c>
      <c r="X7" s="142">
        <v>1</v>
      </c>
      <c r="Y7" s="142">
        <v>0</v>
      </c>
      <c r="Z7" s="142">
        <v>0</v>
      </c>
      <c r="AC7" s="99">
        <v>0</v>
      </c>
    </row>
    <row r="8" spans="1:30">
      <c r="A8" s="143" t="s">
        <v>92</v>
      </c>
      <c r="B8" s="143" t="s">
        <v>1510</v>
      </c>
      <c r="C8" s="143" t="s">
        <v>76</v>
      </c>
      <c r="D8" s="143" t="s">
        <v>1343</v>
      </c>
      <c r="E8" s="143" t="s">
        <v>1342</v>
      </c>
      <c r="F8" s="143" t="s">
        <v>1510</v>
      </c>
      <c r="M8" s="143" t="s">
        <v>1574</v>
      </c>
      <c r="N8" s="143" t="s">
        <v>1351</v>
      </c>
      <c r="O8" s="141">
        <v>45474</v>
      </c>
      <c r="P8" s="141">
        <v>45504</v>
      </c>
      <c r="Q8" s="141">
        <v>45474</v>
      </c>
      <c r="R8" s="141">
        <v>45479</v>
      </c>
      <c r="S8" s="271">
        <v>27</v>
      </c>
      <c r="T8" s="99">
        <v>1</v>
      </c>
      <c r="U8" s="99">
        <v>5</v>
      </c>
      <c r="V8" s="99">
        <v>5</v>
      </c>
      <c r="W8" s="99">
        <v>0</v>
      </c>
      <c r="X8" s="142">
        <v>1</v>
      </c>
      <c r="Y8" s="142">
        <v>1</v>
      </c>
      <c r="Z8" s="142">
        <v>1</v>
      </c>
      <c r="AC8" s="99">
        <v>5</v>
      </c>
    </row>
    <row r="9" spans="1:30">
      <c r="A9" s="143" t="s">
        <v>92</v>
      </c>
      <c r="B9" s="143" t="s">
        <v>1510</v>
      </c>
      <c r="C9" s="143" t="s">
        <v>76</v>
      </c>
      <c r="D9" s="143" t="s">
        <v>1343</v>
      </c>
      <c r="E9" s="143" t="s">
        <v>1342</v>
      </c>
      <c r="F9" s="143" t="s">
        <v>1510</v>
      </c>
      <c r="M9" s="143" t="s">
        <v>1574</v>
      </c>
      <c r="N9" s="143" t="s">
        <v>1614</v>
      </c>
      <c r="O9" s="141">
        <v>45474</v>
      </c>
      <c r="P9" s="141">
        <v>45504</v>
      </c>
      <c r="Q9" s="141">
        <v>45474</v>
      </c>
      <c r="R9" s="141">
        <v>45479</v>
      </c>
      <c r="S9" s="271">
        <v>27</v>
      </c>
      <c r="T9" s="99">
        <v>1</v>
      </c>
      <c r="U9" s="99">
        <v>5</v>
      </c>
      <c r="V9" s="99">
        <v>5</v>
      </c>
      <c r="W9" s="99">
        <v>0</v>
      </c>
      <c r="X9" s="142">
        <v>1</v>
      </c>
      <c r="Y9" s="142">
        <v>1</v>
      </c>
      <c r="Z9" s="142">
        <v>1</v>
      </c>
      <c r="AC9" s="99">
        <v>5</v>
      </c>
    </row>
    <row r="10" spans="1:30">
      <c r="A10" s="143" t="s">
        <v>92</v>
      </c>
      <c r="B10" s="143" t="s">
        <v>1510</v>
      </c>
      <c r="C10" s="143" t="s">
        <v>76</v>
      </c>
      <c r="D10" s="143" t="s">
        <v>1343</v>
      </c>
      <c r="E10" s="143" t="s">
        <v>1342</v>
      </c>
      <c r="F10" s="143" t="s">
        <v>1510</v>
      </c>
      <c r="M10" s="143" t="s">
        <v>1574</v>
      </c>
      <c r="N10" s="143" t="s">
        <v>1351</v>
      </c>
      <c r="O10" s="141">
        <v>45474</v>
      </c>
      <c r="P10" s="141">
        <v>45504</v>
      </c>
      <c r="Q10" s="141">
        <v>45480</v>
      </c>
      <c r="R10" s="141">
        <v>45486</v>
      </c>
      <c r="S10" s="271">
        <v>28</v>
      </c>
      <c r="T10" s="99">
        <v>2</v>
      </c>
      <c r="U10" s="99">
        <v>5</v>
      </c>
      <c r="V10" s="99">
        <v>5</v>
      </c>
      <c r="W10" s="99">
        <v>0</v>
      </c>
      <c r="X10" s="142">
        <v>1</v>
      </c>
      <c r="Y10" s="142">
        <v>1</v>
      </c>
      <c r="Z10" s="142">
        <v>1</v>
      </c>
      <c r="AC10" s="99">
        <v>5</v>
      </c>
    </row>
    <row r="11" spans="1:30">
      <c r="A11" s="143" t="s">
        <v>92</v>
      </c>
      <c r="B11" s="143" t="s">
        <v>1510</v>
      </c>
      <c r="C11" s="143" t="s">
        <v>76</v>
      </c>
      <c r="D11" s="143" t="s">
        <v>1343</v>
      </c>
      <c r="E11" s="143" t="s">
        <v>1342</v>
      </c>
      <c r="F11" s="143" t="s">
        <v>1510</v>
      </c>
      <c r="M11" s="143" t="s">
        <v>1574</v>
      </c>
      <c r="N11" s="143" t="s">
        <v>1614</v>
      </c>
      <c r="O11" s="141">
        <v>45474</v>
      </c>
      <c r="P11" s="141">
        <v>45504</v>
      </c>
      <c r="Q11" s="141">
        <v>45480</v>
      </c>
      <c r="R11" s="141">
        <v>45486</v>
      </c>
      <c r="S11" s="271">
        <v>28</v>
      </c>
      <c r="T11" s="99">
        <v>2</v>
      </c>
      <c r="U11" s="99">
        <v>5</v>
      </c>
      <c r="V11" s="99">
        <v>5</v>
      </c>
      <c r="W11" s="99">
        <v>0</v>
      </c>
      <c r="X11" s="142">
        <v>1</v>
      </c>
      <c r="Y11" s="142">
        <v>1</v>
      </c>
      <c r="Z11" s="142">
        <v>1</v>
      </c>
      <c r="AC11" s="99">
        <v>5</v>
      </c>
    </row>
    <row r="12" spans="1:30">
      <c r="A12" s="143" t="s">
        <v>92</v>
      </c>
      <c r="B12" s="143" t="s">
        <v>1510</v>
      </c>
      <c r="C12" s="143" t="s">
        <v>76</v>
      </c>
      <c r="D12" s="143" t="s">
        <v>1343</v>
      </c>
      <c r="E12" s="143" t="s">
        <v>1342</v>
      </c>
      <c r="F12" s="143" t="s">
        <v>1510</v>
      </c>
      <c r="M12" s="143" t="s">
        <v>1574</v>
      </c>
      <c r="N12" s="143" t="s">
        <v>1351</v>
      </c>
      <c r="O12" s="141">
        <v>45474</v>
      </c>
      <c r="P12" s="141">
        <v>45504</v>
      </c>
      <c r="Q12" s="141">
        <v>45487</v>
      </c>
      <c r="R12" s="141">
        <v>45493</v>
      </c>
      <c r="S12" s="271">
        <v>29</v>
      </c>
      <c r="T12" s="99">
        <v>3</v>
      </c>
      <c r="U12" s="99">
        <v>5</v>
      </c>
      <c r="V12" s="99">
        <v>5</v>
      </c>
      <c r="W12" s="99">
        <v>0</v>
      </c>
      <c r="X12" s="142">
        <v>1</v>
      </c>
      <c r="Y12" s="142">
        <v>1</v>
      </c>
      <c r="Z12" s="142">
        <v>1</v>
      </c>
      <c r="AC12" s="99">
        <v>5</v>
      </c>
    </row>
    <row r="13" spans="1:30">
      <c r="A13" s="143" t="s">
        <v>92</v>
      </c>
      <c r="B13" s="143" t="s">
        <v>1510</v>
      </c>
      <c r="C13" s="143" t="s">
        <v>76</v>
      </c>
      <c r="D13" s="143" t="s">
        <v>1343</v>
      </c>
      <c r="E13" s="143" t="s">
        <v>1342</v>
      </c>
      <c r="F13" s="143" t="s">
        <v>1510</v>
      </c>
      <c r="M13" s="143" t="s">
        <v>1574</v>
      </c>
      <c r="N13" s="143" t="s">
        <v>1614</v>
      </c>
      <c r="O13" s="141">
        <v>45474</v>
      </c>
      <c r="P13" s="141">
        <v>45504</v>
      </c>
      <c r="Q13" s="141">
        <v>45487</v>
      </c>
      <c r="R13" s="141">
        <v>45493</v>
      </c>
      <c r="S13" s="271">
        <v>29</v>
      </c>
      <c r="T13" s="99">
        <v>3</v>
      </c>
      <c r="U13" s="99">
        <v>5</v>
      </c>
      <c r="V13" s="99">
        <v>5</v>
      </c>
      <c r="W13" s="99">
        <v>0</v>
      </c>
      <c r="X13" s="142">
        <v>1</v>
      </c>
      <c r="Y13" s="142">
        <v>1</v>
      </c>
      <c r="Z13" s="142">
        <v>1</v>
      </c>
      <c r="AC13" s="99">
        <v>5</v>
      </c>
    </row>
    <row r="14" spans="1:30">
      <c r="A14" s="143" t="s">
        <v>92</v>
      </c>
      <c r="B14" s="143" t="s">
        <v>1510</v>
      </c>
      <c r="C14" s="143" t="s">
        <v>76</v>
      </c>
      <c r="D14" s="143" t="s">
        <v>1343</v>
      </c>
      <c r="E14" s="143" t="s">
        <v>1342</v>
      </c>
      <c r="F14" s="143" t="s">
        <v>1510</v>
      </c>
      <c r="M14" s="143" t="s">
        <v>1574</v>
      </c>
      <c r="N14" s="143" t="s">
        <v>1351</v>
      </c>
      <c r="O14" s="141">
        <v>45474</v>
      </c>
      <c r="P14" s="141">
        <v>45504</v>
      </c>
      <c r="Q14" s="141">
        <v>45494</v>
      </c>
      <c r="R14" s="141">
        <v>45500</v>
      </c>
      <c r="S14" s="271">
        <v>30</v>
      </c>
      <c r="T14" s="99">
        <v>4</v>
      </c>
      <c r="U14" s="99">
        <v>5</v>
      </c>
      <c r="V14" s="99">
        <v>5</v>
      </c>
      <c r="W14" s="99">
        <v>0</v>
      </c>
      <c r="X14" s="142">
        <v>1</v>
      </c>
      <c r="Y14" s="142">
        <v>1</v>
      </c>
      <c r="Z14" s="142">
        <v>1</v>
      </c>
      <c r="AC14" s="99">
        <v>5</v>
      </c>
    </row>
    <row r="15" spans="1:30">
      <c r="A15" s="143" t="s">
        <v>92</v>
      </c>
      <c r="B15" s="143" t="s">
        <v>1510</v>
      </c>
      <c r="C15" s="143" t="s">
        <v>76</v>
      </c>
      <c r="D15" s="143" t="s">
        <v>1343</v>
      </c>
      <c r="E15" s="143" t="s">
        <v>1342</v>
      </c>
      <c r="F15" s="143" t="s">
        <v>1510</v>
      </c>
      <c r="M15" s="143" t="s">
        <v>1574</v>
      </c>
      <c r="N15" s="143" t="s">
        <v>1614</v>
      </c>
      <c r="O15" s="141">
        <v>45474</v>
      </c>
      <c r="P15" s="141">
        <v>45504</v>
      </c>
      <c r="Q15" s="141">
        <v>45494</v>
      </c>
      <c r="R15" s="141">
        <v>45500</v>
      </c>
      <c r="S15" s="271">
        <v>30</v>
      </c>
      <c r="T15" s="99">
        <v>4</v>
      </c>
      <c r="U15" s="99">
        <v>5</v>
      </c>
      <c r="V15" s="99">
        <v>5</v>
      </c>
      <c r="W15" s="99">
        <v>0</v>
      </c>
      <c r="X15" s="142">
        <v>1</v>
      </c>
      <c r="Y15" s="142">
        <v>1</v>
      </c>
      <c r="Z15" s="142">
        <v>1</v>
      </c>
      <c r="AC15" s="99">
        <v>5</v>
      </c>
    </row>
    <row r="16" spans="1:30">
      <c r="A16" s="143" t="s">
        <v>92</v>
      </c>
      <c r="B16" s="143" t="s">
        <v>1510</v>
      </c>
      <c r="C16" s="143" t="s">
        <v>76</v>
      </c>
      <c r="D16" s="143" t="s">
        <v>1343</v>
      </c>
      <c r="E16" s="143" t="s">
        <v>1342</v>
      </c>
      <c r="F16" s="143" t="s">
        <v>1510</v>
      </c>
      <c r="M16" s="143" t="s">
        <v>1574</v>
      </c>
      <c r="N16" s="143" t="s">
        <v>1351</v>
      </c>
      <c r="O16" s="141">
        <v>45474</v>
      </c>
      <c r="P16" s="141">
        <v>45504</v>
      </c>
      <c r="Q16" s="141">
        <v>45501</v>
      </c>
      <c r="R16" s="141">
        <v>45507</v>
      </c>
      <c r="S16" s="271">
        <v>31</v>
      </c>
      <c r="T16" s="99">
        <v>5</v>
      </c>
      <c r="U16" s="99">
        <v>3</v>
      </c>
      <c r="V16" s="99">
        <v>3</v>
      </c>
      <c r="W16" s="99">
        <v>0</v>
      </c>
      <c r="X16" s="142">
        <v>1</v>
      </c>
      <c r="Y16" s="142">
        <v>1</v>
      </c>
      <c r="Z16" s="142">
        <v>1</v>
      </c>
      <c r="AC16" s="99">
        <v>3</v>
      </c>
    </row>
    <row r="17" spans="1:29">
      <c r="A17" s="143" t="s">
        <v>92</v>
      </c>
      <c r="B17" s="143" t="s">
        <v>1510</v>
      </c>
      <c r="C17" s="143" t="s">
        <v>76</v>
      </c>
      <c r="D17" s="143" t="s">
        <v>1343</v>
      </c>
      <c r="E17" s="143" t="s">
        <v>1342</v>
      </c>
      <c r="F17" s="143" t="s">
        <v>1510</v>
      </c>
      <c r="M17" s="143" t="s">
        <v>1574</v>
      </c>
      <c r="N17" s="143" t="s">
        <v>1614</v>
      </c>
      <c r="O17" s="141">
        <v>45474</v>
      </c>
      <c r="P17" s="141">
        <v>45504</v>
      </c>
      <c r="Q17" s="141">
        <v>45501</v>
      </c>
      <c r="R17" s="141">
        <v>45507</v>
      </c>
      <c r="S17" s="271">
        <v>31</v>
      </c>
      <c r="T17" s="99">
        <v>5</v>
      </c>
      <c r="U17" s="99">
        <v>3</v>
      </c>
      <c r="V17" s="99">
        <v>3</v>
      </c>
      <c r="W17" s="99">
        <v>0</v>
      </c>
      <c r="X17" s="142">
        <v>1</v>
      </c>
      <c r="Y17" s="142">
        <v>1</v>
      </c>
      <c r="Z17" s="142">
        <v>1</v>
      </c>
      <c r="AC17" s="99">
        <v>3</v>
      </c>
    </row>
    <row r="18" spans="1:29">
      <c r="A18" s="143" t="s">
        <v>92</v>
      </c>
      <c r="B18" s="143" t="s">
        <v>1511</v>
      </c>
      <c r="C18" s="143" t="s">
        <v>76</v>
      </c>
      <c r="D18" s="143" t="s">
        <v>1343</v>
      </c>
      <c r="E18" s="143" t="s">
        <v>1342</v>
      </c>
      <c r="F18" s="143" t="s">
        <v>1511</v>
      </c>
      <c r="M18" s="143" t="s">
        <v>1553</v>
      </c>
      <c r="N18" s="143" t="s">
        <v>1351</v>
      </c>
      <c r="O18" s="141">
        <v>45499</v>
      </c>
      <c r="P18" s="141">
        <v>45512</v>
      </c>
      <c r="Q18" s="141">
        <v>45494</v>
      </c>
      <c r="R18" s="141">
        <v>45500</v>
      </c>
      <c r="S18" s="271">
        <v>30</v>
      </c>
      <c r="T18" s="99">
        <v>4</v>
      </c>
      <c r="U18" s="99">
        <v>1</v>
      </c>
      <c r="V18" s="99">
        <v>1</v>
      </c>
      <c r="W18" s="99">
        <v>0</v>
      </c>
      <c r="X18" s="142">
        <v>1</v>
      </c>
      <c r="Y18" s="142">
        <v>0.5</v>
      </c>
      <c r="Z18" s="142">
        <v>0.5</v>
      </c>
      <c r="AC18" s="99">
        <v>5</v>
      </c>
    </row>
    <row r="19" spans="1:29">
      <c r="A19" s="143" t="s">
        <v>92</v>
      </c>
      <c r="B19" s="143" t="s">
        <v>1511</v>
      </c>
      <c r="C19" s="143" t="s">
        <v>76</v>
      </c>
      <c r="D19" s="143" t="s">
        <v>1343</v>
      </c>
      <c r="E19" s="143" t="s">
        <v>1342</v>
      </c>
      <c r="F19" s="143" t="s">
        <v>1511</v>
      </c>
      <c r="M19" s="143" t="s">
        <v>1553</v>
      </c>
      <c r="N19" s="143" t="s">
        <v>1614</v>
      </c>
      <c r="O19" s="141">
        <v>45499</v>
      </c>
      <c r="P19" s="141">
        <v>45512</v>
      </c>
      <c r="Q19" s="141">
        <v>45494</v>
      </c>
      <c r="R19" s="141">
        <v>45500</v>
      </c>
      <c r="S19" s="271">
        <v>30</v>
      </c>
      <c r="T19" s="99">
        <v>4</v>
      </c>
      <c r="U19" s="99">
        <v>1</v>
      </c>
      <c r="V19" s="99">
        <v>1</v>
      </c>
      <c r="W19" s="99">
        <v>0</v>
      </c>
      <c r="X19" s="142">
        <v>1</v>
      </c>
      <c r="Y19" s="142">
        <v>0.5</v>
      </c>
      <c r="Z19" s="142">
        <v>0.5</v>
      </c>
      <c r="AC19" s="99">
        <v>5</v>
      </c>
    </row>
    <row r="20" spans="1:29">
      <c r="A20" s="143" t="s">
        <v>92</v>
      </c>
      <c r="B20" s="143" t="s">
        <v>1511</v>
      </c>
      <c r="C20" s="143" t="s">
        <v>76</v>
      </c>
      <c r="D20" s="143" t="s">
        <v>1343</v>
      </c>
      <c r="E20" s="143" t="s">
        <v>1342</v>
      </c>
      <c r="F20" s="143" t="s">
        <v>1511</v>
      </c>
      <c r="M20" s="143" t="s">
        <v>1553</v>
      </c>
      <c r="N20" s="143" t="s">
        <v>1351</v>
      </c>
      <c r="O20" s="141">
        <v>45499</v>
      </c>
      <c r="P20" s="141">
        <v>45512</v>
      </c>
      <c r="Q20" s="141">
        <v>45501</v>
      </c>
      <c r="R20" s="141">
        <v>45507</v>
      </c>
      <c r="S20" s="271">
        <v>31</v>
      </c>
      <c r="T20" s="99">
        <v>5</v>
      </c>
      <c r="U20" s="99">
        <v>5</v>
      </c>
      <c r="V20" s="99">
        <v>4</v>
      </c>
      <c r="W20" s="99">
        <v>0</v>
      </c>
      <c r="X20" s="142">
        <v>1</v>
      </c>
      <c r="Y20" s="142">
        <v>0.5</v>
      </c>
      <c r="Z20" s="142">
        <v>0.5</v>
      </c>
      <c r="AC20" s="99">
        <v>0</v>
      </c>
    </row>
    <row r="21" spans="1:29">
      <c r="A21" s="143" t="s">
        <v>92</v>
      </c>
      <c r="B21" s="143" t="s">
        <v>1511</v>
      </c>
      <c r="C21" s="143" t="s">
        <v>76</v>
      </c>
      <c r="D21" s="143" t="s">
        <v>1343</v>
      </c>
      <c r="E21" s="143" t="s">
        <v>1342</v>
      </c>
      <c r="F21" s="143" t="s">
        <v>1511</v>
      </c>
      <c r="M21" s="143" t="s">
        <v>1553</v>
      </c>
      <c r="N21" s="143" t="s">
        <v>1614</v>
      </c>
      <c r="O21" s="141">
        <v>45499</v>
      </c>
      <c r="P21" s="141">
        <v>45512</v>
      </c>
      <c r="Q21" s="141">
        <v>45501</v>
      </c>
      <c r="R21" s="141">
        <v>45507</v>
      </c>
      <c r="S21" s="271">
        <v>31</v>
      </c>
      <c r="T21" s="99">
        <v>5</v>
      </c>
      <c r="U21" s="99">
        <v>5</v>
      </c>
      <c r="V21" s="99">
        <v>4</v>
      </c>
      <c r="W21" s="99">
        <v>0</v>
      </c>
      <c r="X21" s="142">
        <v>1</v>
      </c>
      <c r="Y21" s="142">
        <v>0.5</v>
      </c>
      <c r="Z21" s="142">
        <v>0.5</v>
      </c>
      <c r="AC21" s="99">
        <v>0</v>
      </c>
    </row>
    <row r="22" spans="1:29">
      <c r="A22" s="143" t="s">
        <v>92</v>
      </c>
      <c r="B22" s="143" t="s">
        <v>1511</v>
      </c>
      <c r="C22" s="143" t="s">
        <v>76</v>
      </c>
      <c r="D22" s="143" t="s">
        <v>1343</v>
      </c>
      <c r="E22" s="143" t="s">
        <v>1342</v>
      </c>
      <c r="F22" s="143" t="s">
        <v>1511</v>
      </c>
      <c r="M22" s="143" t="s">
        <v>1553</v>
      </c>
      <c r="N22" s="143" t="s">
        <v>1351</v>
      </c>
      <c r="O22" s="141">
        <v>45499</v>
      </c>
      <c r="P22" s="141">
        <v>45512</v>
      </c>
      <c r="Q22" s="141">
        <v>45508</v>
      </c>
      <c r="R22" s="141">
        <v>45514</v>
      </c>
      <c r="S22" s="271">
        <v>32</v>
      </c>
      <c r="T22" s="99">
        <v>6</v>
      </c>
      <c r="U22" s="99">
        <v>4</v>
      </c>
      <c r="V22" s="99">
        <v>0</v>
      </c>
      <c r="W22" s="99">
        <v>0</v>
      </c>
      <c r="X22" s="142">
        <v>1</v>
      </c>
      <c r="Y22" s="142">
        <v>0.5</v>
      </c>
      <c r="Z22" s="142">
        <v>0.5</v>
      </c>
      <c r="AC22" s="99">
        <v>0</v>
      </c>
    </row>
    <row r="23" spans="1:29">
      <c r="A23" s="143" t="s">
        <v>92</v>
      </c>
      <c r="B23" s="143" t="s">
        <v>1511</v>
      </c>
      <c r="C23" s="143" t="s">
        <v>76</v>
      </c>
      <c r="D23" s="143" t="s">
        <v>1343</v>
      </c>
      <c r="E23" s="143" t="s">
        <v>1342</v>
      </c>
      <c r="F23" s="143" t="s">
        <v>1511</v>
      </c>
      <c r="M23" s="143" t="s">
        <v>1553</v>
      </c>
      <c r="N23" s="143" t="s">
        <v>1614</v>
      </c>
      <c r="O23" s="141">
        <v>45499</v>
      </c>
      <c r="P23" s="141">
        <v>45512</v>
      </c>
      <c r="Q23" s="141">
        <v>45508</v>
      </c>
      <c r="R23" s="141">
        <v>45514</v>
      </c>
      <c r="S23" s="271">
        <v>32</v>
      </c>
      <c r="T23" s="99">
        <v>6</v>
      </c>
      <c r="U23" s="99">
        <v>4</v>
      </c>
      <c r="V23" s="99">
        <v>0</v>
      </c>
      <c r="W23" s="99">
        <v>0</v>
      </c>
      <c r="X23" s="142">
        <v>1</v>
      </c>
      <c r="Y23" s="142">
        <v>0.5</v>
      </c>
      <c r="Z23" s="142">
        <v>0.5</v>
      </c>
      <c r="AC23" s="99">
        <v>0</v>
      </c>
    </row>
    <row r="24" spans="1:29">
      <c r="A24" s="143" t="s">
        <v>92</v>
      </c>
      <c r="B24" s="143" t="s">
        <v>1512</v>
      </c>
      <c r="C24" s="143" t="s">
        <v>76</v>
      </c>
      <c r="D24" s="143" t="s">
        <v>1343</v>
      </c>
      <c r="E24" s="143" t="s">
        <v>1342</v>
      </c>
      <c r="F24" s="143" t="s">
        <v>1512</v>
      </c>
      <c r="M24" s="143" t="s">
        <v>1554</v>
      </c>
      <c r="N24" s="143" t="s">
        <v>1351</v>
      </c>
      <c r="O24" s="141">
        <v>45513</v>
      </c>
      <c r="P24" s="141">
        <v>45527</v>
      </c>
      <c r="Q24" s="141">
        <v>45508</v>
      </c>
      <c r="R24" s="141">
        <v>45514</v>
      </c>
      <c r="S24" s="271">
        <v>32</v>
      </c>
      <c r="T24" s="99">
        <v>6</v>
      </c>
      <c r="U24" s="99">
        <v>1</v>
      </c>
      <c r="V24" s="99">
        <v>0</v>
      </c>
      <c r="W24" s="99">
        <v>0</v>
      </c>
      <c r="X24" s="142">
        <v>1</v>
      </c>
      <c r="Y24" s="142">
        <v>0</v>
      </c>
      <c r="Z24" s="142">
        <v>0</v>
      </c>
      <c r="AC24" s="99">
        <v>0</v>
      </c>
    </row>
    <row r="25" spans="1:29">
      <c r="A25" s="143" t="s">
        <v>92</v>
      </c>
      <c r="B25" s="143" t="s">
        <v>1512</v>
      </c>
      <c r="C25" s="143" t="s">
        <v>76</v>
      </c>
      <c r="D25" s="143" t="s">
        <v>1343</v>
      </c>
      <c r="E25" s="143" t="s">
        <v>1342</v>
      </c>
      <c r="F25" s="143" t="s">
        <v>1512</v>
      </c>
      <c r="M25" s="143" t="s">
        <v>1554</v>
      </c>
      <c r="N25" s="143" t="s">
        <v>1614</v>
      </c>
      <c r="O25" s="141">
        <v>45513</v>
      </c>
      <c r="P25" s="141">
        <v>45527</v>
      </c>
      <c r="Q25" s="141">
        <v>45508</v>
      </c>
      <c r="R25" s="141">
        <v>45514</v>
      </c>
      <c r="S25" s="271">
        <v>32</v>
      </c>
      <c r="T25" s="99">
        <v>6</v>
      </c>
      <c r="U25" s="99">
        <v>1</v>
      </c>
      <c r="V25" s="99">
        <v>0</v>
      </c>
      <c r="W25" s="99">
        <v>0</v>
      </c>
      <c r="X25" s="142">
        <v>1</v>
      </c>
      <c r="Y25" s="142">
        <v>0</v>
      </c>
      <c r="Z25" s="142">
        <v>0</v>
      </c>
      <c r="AC25" s="99">
        <v>0</v>
      </c>
    </row>
    <row r="26" spans="1:29">
      <c r="A26" s="143" t="s">
        <v>92</v>
      </c>
      <c r="B26" s="143" t="s">
        <v>1512</v>
      </c>
      <c r="C26" s="143" t="s">
        <v>76</v>
      </c>
      <c r="D26" s="143" t="s">
        <v>1343</v>
      </c>
      <c r="E26" s="143" t="s">
        <v>1342</v>
      </c>
      <c r="F26" s="143" t="s">
        <v>1512</v>
      </c>
      <c r="M26" s="143" t="s">
        <v>1554</v>
      </c>
      <c r="N26" s="143" t="s">
        <v>1351</v>
      </c>
      <c r="O26" s="141">
        <v>45513</v>
      </c>
      <c r="P26" s="141">
        <v>45527</v>
      </c>
      <c r="Q26" s="141">
        <v>45515</v>
      </c>
      <c r="R26" s="141">
        <v>45521</v>
      </c>
      <c r="S26" s="271">
        <v>33</v>
      </c>
      <c r="T26" s="99">
        <v>7</v>
      </c>
      <c r="U26" s="99">
        <v>5</v>
      </c>
      <c r="V26" s="99">
        <v>0</v>
      </c>
      <c r="W26" s="99">
        <v>0</v>
      </c>
      <c r="X26" s="142">
        <v>1</v>
      </c>
      <c r="Y26" s="142">
        <v>0</v>
      </c>
      <c r="Z26" s="142">
        <v>0</v>
      </c>
      <c r="AC26" s="99">
        <v>0</v>
      </c>
    </row>
    <row r="27" spans="1:29">
      <c r="A27" s="143" t="s">
        <v>92</v>
      </c>
      <c r="B27" s="143" t="s">
        <v>1512</v>
      </c>
      <c r="C27" s="143" t="s">
        <v>76</v>
      </c>
      <c r="D27" s="143" t="s">
        <v>1343</v>
      </c>
      <c r="E27" s="143" t="s">
        <v>1342</v>
      </c>
      <c r="F27" s="143" t="s">
        <v>1512</v>
      </c>
      <c r="M27" s="143" t="s">
        <v>1554</v>
      </c>
      <c r="N27" s="143" t="s">
        <v>1614</v>
      </c>
      <c r="O27" s="141">
        <v>45513</v>
      </c>
      <c r="P27" s="141">
        <v>45527</v>
      </c>
      <c r="Q27" s="141">
        <v>45515</v>
      </c>
      <c r="R27" s="141">
        <v>45521</v>
      </c>
      <c r="S27" s="271">
        <v>33</v>
      </c>
      <c r="T27" s="99">
        <v>7</v>
      </c>
      <c r="U27" s="99">
        <v>5</v>
      </c>
      <c r="V27" s="99">
        <v>0</v>
      </c>
      <c r="W27" s="99">
        <v>0</v>
      </c>
      <c r="X27" s="142">
        <v>1</v>
      </c>
      <c r="Y27" s="142">
        <v>0</v>
      </c>
      <c r="Z27" s="142">
        <v>0</v>
      </c>
      <c r="AC27" s="99">
        <v>0</v>
      </c>
    </row>
    <row r="28" spans="1:29">
      <c r="A28" s="143" t="s">
        <v>92</v>
      </c>
      <c r="B28" s="143" t="s">
        <v>1512</v>
      </c>
      <c r="C28" s="143" t="s">
        <v>76</v>
      </c>
      <c r="D28" s="143" t="s">
        <v>1343</v>
      </c>
      <c r="E28" s="143" t="s">
        <v>1342</v>
      </c>
      <c r="F28" s="143" t="s">
        <v>1512</v>
      </c>
      <c r="M28" s="143" t="s">
        <v>1554</v>
      </c>
      <c r="N28" s="143" t="s">
        <v>1351</v>
      </c>
      <c r="O28" s="141">
        <v>45513</v>
      </c>
      <c r="P28" s="141">
        <v>45527</v>
      </c>
      <c r="Q28" s="141">
        <v>45522</v>
      </c>
      <c r="R28" s="141">
        <v>45528</v>
      </c>
      <c r="S28" s="271">
        <v>34</v>
      </c>
      <c r="T28" s="99">
        <v>8</v>
      </c>
      <c r="U28" s="99">
        <v>5</v>
      </c>
      <c r="V28" s="99">
        <v>0</v>
      </c>
      <c r="W28" s="99">
        <v>0</v>
      </c>
      <c r="X28" s="142">
        <v>1</v>
      </c>
      <c r="Y28" s="142">
        <v>0</v>
      </c>
      <c r="Z28" s="142">
        <v>0</v>
      </c>
      <c r="AC28" s="99">
        <v>0</v>
      </c>
    </row>
    <row r="29" spans="1:29">
      <c r="A29" s="143" t="s">
        <v>92</v>
      </c>
      <c r="B29" s="143" t="s">
        <v>1512</v>
      </c>
      <c r="C29" s="143" t="s">
        <v>76</v>
      </c>
      <c r="D29" s="143" t="s">
        <v>1343</v>
      </c>
      <c r="E29" s="143" t="s">
        <v>1342</v>
      </c>
      <c r="F29" s="143" t="s">
        <v>1512</v>
      </c>
      <c r="M29" s="143" t="s">
        <v>1554</v>
      </c>
      <c r="N29" s="143" t="s">
        <v>1614</v>
      </c>
      <c r="O29" s="141">
        <v>45513</v>
      </c>
      <c r="P29" s="141">
        <v>45527</v>
      </c>
      <c r="Q29" s="141">
        <v>45522</v>
      </c>
      <c r="R29" s="141">
        <v>45528</v>
      </c>
      <c r="S29" s="271">
        <v>34</v>
      </c>
      <c r="T29" s="99">
        <v>8</v>
      </c>
      <c r="U29" s="99">
        <v>5</v>
      </c>
      <c r="V29" s="99">
        <v>0</v>
      </c>
      <c r="W29" s="99">
        <v>0</v>
      </c>
      <c r="X29" s="142">
        <v>1</v>
      </c>
      <c r="Y29" s="142">
        <v>0</v>
      </c>
      <c r="Z29" s="142">
        <v>0</v>
      </c>
      <c r="AC29" s="99">
        <v>0</v>
      </c>
    </row>
    <row r="30" spans="1:29">
      <c r="A30" s="143" t="s">
        <v>92</v>
      </c>
      <c r="B30" s="143" t="s">
        <v>1513</v>
      </c>
      <c r="C30" s="143" t="s">
        <v>76</v>
      </c>
      <c r="D30" s="143" t="s">
        <v>1343</v>
      </c>
      <c r="E30" s="143" t="s">
        <v>1342</v>
      </c>
      <c r="F30" s="143" t="s">
        <v>1513</v>
      </c>
      <c r="M30" s="143" t="s">
        <v>1557</v>
      </c>
      <c r="N30" s="143" t="s">
        <v>1351</v>
      </c>
      <c r="O30" s="141">
        <v>45513</v>
      </c>
      <c r="P30" s="141">
        <v>45527</v>
      </c>
      <c r="Q30" s="141">
        <v>45508</v>
      </c>
      <c r="R30" s="141">
        <v>45514</v>
      </c>
      <c r="S30" s="271">
        <v>32</v>
      </c>
      <c r="T30" s="99">
        <v>6</v>
      </c>
      <c r="U30" s="99">
        <v>1</v>
      </c>
      <c r="V30" s="99">
        <v>0</v>
      </c>
      <c r="W30" s="99">
        <v>0</v>
      </c>
      <c r="X30" s="142">
        <v>1</v>
      </c>
      <c r="Y30" s="142">
        <v>0</v>
      </c>
      <c r="Z30" s="142">
        <v>0</v>
      </c>
      <c r="AC30" s="99">
        <v>0</v>
      </c>
    </row>
    <row r="31" spans="1:29">
      <c r="A31" s="143" t="s">
        <v>92</v>
      </c>
      <c r="B31" s="143" t="s">
        <v>1513</v>
      </c>
      <c r="C31" s="143" t="s">
        <v>76</v>
      </c>
      <c r="D31" s="143" t="s">
        <v>1343</v>
      </c>
      <c r="E31" s="143" t="s">
        <v>1342</v>
      </c>
      <c r="F31" s="143" t="s">
        <v>1513</v>
      </c>
      <c r="M31" s="143" t="s">
        <v>1557</v>
      </c>
      <c r="N31" s="143" t="s">
        <v>1614</v>
      </c>
      <c r="O31" s="141">
        <v>45513</v>
      </c>
      <c r="P31" s="141">
        <v>45527</v>
      </c>
      <c r="Q31" s="141">
        <v>45508</v>
      </c>
      <c r="R31" s="141">
        <v>45514</v>
      </c>
      <c r="S31" s="271">
        <v>32</v>
      </c>
      <c r="T31" s="99">
        <v>6</v>
      </c>
      <c r="U31" s="99">
        <v>1</v>
      </c>
      <c r="V31" s="99">
        <v>0</v>
      </c>
      <c r="W31" s="99">
        <v>0</v>
      </c>
      <c r="X31" s="142">
        <v>1</v>
      </c>
      <c r="Y31" s="142">
        <v>0</v>
      </c>
      <c r="Z31" s="142">
        <v>0</v>
      </c>
      <c r="AC31" s="99">
        <v>0</v>
      </c>
    </row>
    <row r="32" spans="1:29">
      <c r="A32" s="143" t="s">
        <v>92</v>
      </c>
      <c r="B32" s="143" t="s">
        <v>1513</v>
      </c>
      <c r="C32" s="143" t="s">
        <v>76</v>
      </c>
      <c r="D32" s="143" t="s">
        <v>1343</v>
      </c>
      <c r="E32" s="143" t="s">
        <v>1342</v>
      </c>
      <c r="F32" s="143" t="s">
        <v>1513</v>
      </c>
      <c r="M32" s="143" t="s">
        <v>1557</v>
      </c>
      <c r="N32" s="143" t="s">
        <v>1351</v>
      </c>
      <c r="O32" s="141">
        <v>45513</v>
      </c>
      <c r="P32" s="141">
        <v>45527</v>
      </c>
      <c r="Q32" s="141">
        <v>45515</v>
      </c>
      <c r="R32" s="141">
        <v>45521</v>
      </c>
      <c r="S32" s="271">
        <v>33</v>
      </c>
      <c r="T32" s="99">
        <v>7</v>
      </c>
      <c r="U32" s="99">
        <v>5</v>
      </c>
      <c r="V32" s="99">
        <v>0</v>
      </c>
      <c r="W32" s="99">
        <v>0</v>
      </c>
      <c r="X32" s="142">
        <v>1</v>
      </c>
      <c r="Y32" s="142">
        <v>0</v>
      </c>
      <c r="Z32" s="142">
        <v>0</v>
      </c>
      <c r="AC32" s="99">
        <v>0</v>
      </c>
    </row>
    <row r="33" spans="1:29">
      <c r="A33" s="143" t="s">
        <v>92</v>
      </c>
      <c r="B33" s="143" t="s">
        <v>1513</v>
      </c>
      <c r="C33" s="143" t="s">
        <v>76</v>
      </c>
      <c r="D33" s="143" t="s">
        <v>1343</v>
      </c>
      <c r="E33" s="143" t="s">
        <v>1342</v>
      </c>
      <c r="F33" s="143" t="s">
        <v>1513</v>
      </c>
      <c r="M33" s="143" t="s">
        <v>1557</v>
      </c>
      <c r="N33" s="143" t="s">
        <v>1614</v>
      </c>
      <c r="O33" s="141">
        <v>45513</v>
      </c>
      <c r="P33" s="141">
        <v>45527</v>
      </c>
      <c r="Q33" s="141">
        <v>45515</v>
      </c>
      <c r="R33" s="141">
        <v>45521</v>
      </c>
      <c r="S33" s="271">
        <v>33</v>
      </c>
      <c r="T33" s="99">
        <v>7</v>
      </c>
      <c r="U33" s="99">
        <v>5</v>
      </c>
      <c r="V33" s="99">
        <v>0</v>
      </c>
      <c r="W33" s="99">
        <v>0</v>
      </c>
      <c r="X33" s="142">
        <v>1</v>
      </c>
      <c r="Y33" s="142">
        <v>0</v>
      </c>
      <c r="Z33" s="142">
        <v>0</v>
      </c>
      <c r="AC33" s="99">
        <v>0</v>
      </c>
    </row>
    <row r="34" spans="1:29">
      <c r="A34" s="143" t="s">
        <v>92</v>
      </c>
      <c r="B34" s="143" t="s">
        <v>1513</v>
      </c>
      <c r="C34" s="143" t="s">
        <v>76</v>
      </c>
      <c r="D34" s="143" t="s">
        <v>1343</v>
      </c>
      <c r="E34" s="143" t="s">
        <v>1342</v>
      </c>
      <c r="F34" s="143" t="s">
        <v>1513</v>
      </c>
      <c r="M34" s="143" t="s">
        <v>1557</v>
      </c>
      <c r="N34" s="143" t="s">
        <v>1351</v>
      </c>
      <c r="O34" s="141">
        <v>45513</v>
      </c>
      <c r="P34" s="141">
        <v>45527</v>
      </c>
      <c r="Q34" s="141">
        <v>45522</v>
      </c>
      <c r="R34" s="141">
        <v>45528</v>
      </c>
      <c r="S34" s="271">
        <v>34</v>
      </c>
      <c r="T34" s="99">
        <v>8</v>
      </c>
      <c r="U34" s="99">
        <v>5</v>
      </c>
      <c r="V34" s="99">
        <v>0</v>
      </c>
      <c r="W34" s="99">
        <v>0</v>
      </c>
      <c r="X34" s="142">
        <v>1</v>
      </c>
      <c r="Y34" s="142">
        <v>0</v>
      </c>
      <c r="Z34" s="142">
        <v>0</v>
      </c>
      <c r="AC34" s="99">
        <v>0</v>
      </c>
    </row>
    <row r="35" spans="1:29">
      <c r="A35" s="143" t="s">
        <v>92</v>
      </c>
      <c r="B35" s="143" t="s">
        <v>1513</v>
      </c>
      <c r="C35" s="143" t="s">
        <v>76</v>
      </c>
      <c r="D35" s="143" t="s">
        <v>1343</v>
      </c>
      <c r="E35" s="143" t="s">
        <v>1342</v>
      </c>
      <c r="F35" s="143" t="s">
        <v>1513</v>
      </c>
      <c r="M35" s="143" t="s">
        <v>1557</v>
      </c>
      <c r="N35" s="143" t="s">
        <v>1614</v>
      </c>
      <c r="O35" s="141">
        <v>45513</v>
      </c>
      <c r="P35" s="141">
        <v>45527</v>
      </c>
      <c r="Q35" s="141">
        <v>45522</v>
      </c>
      <c r="R35" s="141">
        <v>45528</v>
      </c>
      <c r="S35" s="271">
        <v>34</v>
      </c>
      <c r="T35" s="99">
        <v>8</v>
      </c>
      <c r="U35" s="99">
        <v>5</v>
      </c>
      <c r="V35" s="99">
        <v>0</v>
      </c>
      <c r="W35" s="99">
        <v>0</v>
      </c>
      <c r="X35" s="142">
        <v>1</v>
      </c>
      <c r="Y35" s="142">
        <v>0</v>
      </c>
      <c r="Z35" s="142">
        <v>0</v>
      </c>
      <c r="AC35" s="99">
        <v>0</v>
      </c>
    </row>
    <row r="36" spans="1:29">
      <c r="A36" s="143" t="s">
        <v>92</v>
      </c>
      <c r="B36" s="143" t="s">
        <v>1514</v>
      </c>
      <c r="C36" s="143" t="s">
        <v>76</v>
      </c>
      <c r="D36" s="143" t="s">
        <v>1343</v>
      </c>
      <c r="E36" s="143" t="s">
        <v>1342</v>
      </c>
      <c r="F36" s="143" t="s">
        <v>1514</v>
      </c>
      <c r="M36" s="143" t="s">
        <v>1579</v>
      </c>
      <c r="N36" s="143" t="s">
        <v>1351</v>
      </c>
      <c r="O36" s="141">
        <v>45499</v>
      </c>
      <c r="P36" s="141">
        <v>45512</v>
      </c>
      <c r="Q36" s="141">
        <v>45494</v>
      </c>
      <c r="R36" s="141">
        <v>45500</v>
      </c>
      <c r="S36" s="271">
        <v>30</v>
      </c>
      <c r="T36" s="99">
        <v>4</v>
      </c>
      <c r="U36" s="99">
        <v>1</v>
      </c>
      <c r="V36" s="99">
        <v>1</v>
      </c>
      <c r="W36" s="99">
        <v>0</v>
      </c>
      <c r="X36" s="142">
        <v>1</v>
      </c>
      <c r="Y36" s="142">
        <v>0.5</v>
      </c>
      <c r="Z36" s="142">
        <v>0.5</v>
      </c>
      <c r="AC36" s="99">
        <v>5</v>
      </c>
    </row>
    <row r="37" spans="1:29">
      <c r="A37" s="143" t="s">
        <v>92</v>
      </c>
      <c r="B37" s="143" t="s">
        <v>1514</v>
      </c>
      <c r="C37" s="143" t="s">
        <v>76</v>
      </c>
      <c r="D37" s="143" t="s">
        <v>1343</v>
      </c>
      <c r="E37" s="143" t="s">
        <v>1342</v>
      </c>
      <c r="F37" s="143" t="s">
        <v>1514</v>
      </c>
      <c r="M37" s="143" t="s">
        <v>1579</v>
      </c>
      <c r="N37" s="143" t="s">
        <v>1614</v>
      </c>
      <c r="O37" s="141">
        <v>45499</v>
      </c>
      <c r="P37" s="141">
        <v>45512</v>
      </c>
      <c r="Q37" s="141">
        <v>45494</v>
      </c>
      <c r="R37" s="141">
        <v>45500</v>
      </c>
      <c r="S37" s="271">
        <v>30</v>
      </c>
      <c r="T37" s="99">
        <v>4</v>
      </c>
      <c r="U37" s="99">
        <v>1</v>
      </c>
      <c r="V37" s="99">
        <v>1</v>
      </c>
      <c r="W37" s="99">
        <v>0</v>
      </c>
      <c r="X37" s="142">
        <v>1</v>
      </c>
      <c r="Y37" s="142">
        <v>0.5</v>
      </c>
      <c r="Z37" s="142">
        <v>0.5</v>
      </c>
      <c r="AC37" s="99">
        <v>5</v>
      </c>
    </row>
    <row r="38" spans="1:29">
      <c r="A38" s="143" t="s">
        <v>92</v>
      </c>
      <c r="B38" s="143" t="s">
        <v>1514</v>
      </c>
      <c r="C38" s="143" t="s">
        <v>76</v>
      </c>
      <c r="D38" s="143" t="s">
        <v>1343</v>
      </c>
      <c r="E38" s="143" t="s">
        <v>1342</v>
      </c>
      <c r="F38" s="143" t="s">
        <v>1514</v>
      </c>
      <c r="M38" s="143" t="s">
        <v>1579</v>
      </c>
      <c r="N38" s="143" t="s">
        <v>1351</v>
      </c>
      <c r="O38" s="141">
        <v>45499</v>
      </c>
      <c r="P38" s="141">
        <v>45512</v>
      </c>
      <c r="Q38" s="141">
        <v>45501</v>
      </c>
      <c r="R38" s="141">
        <v>45507</v>
      </c>
      <c r="S38" s="271">
        <v>31</v>
      </c>
      <c r="T38" s="99">
        <v>5</v>
      </c>
      <c r="U38" s="99">
        <v>5</v>
      </c>
      <c r="V38" s="99">
        <v>4</v>
      </c>
      <c r="W38" s="99">
        <v>0</v>
      </c>
      <c r="X38" s="142">
        <v>1</v>
      </c>
      <c r="Y38" s="142">
        <v>0.5</v>
      </c>
      <c r="Z38" s="142">
        <v>0.5</v>
      </c>
      <c r="AC38" s="99">
        <v>0</v>
      </c>
    </row>
    <row r="39" spans="1:29">
      <c r="A39" s="143" t="s">
        <v>92</v>
      </c>
      <c r="B39" s="143" t="s">
        <v>1514</v>
      </c>
      <c r="C39" s="143" t="s">
        <v>76</v>
      </c>
      <c r="D39" s="143" t="s">
        <v>1343</v>
      </c>
      <c r="E39" s="143" t="s">
        <v>1342</v>
      </c>
      <c r="F39" s="143" t="s">
        <v>1514</v>
      </c>
      <c r="M39" s="143" t="s">
        <v>1579</v>
      </c>
      <c r="N39" s="143" t="s">
        <v>1614</v>
      </c>
      <c r="O39" s="141">
        <v>45499</v>
      </c>
      <c r="P39" s="141">
        <v>45512</v>
      </c>
      <c r="Q39" s="141">
        <v>45501</v>
      </c>
      <c r="R39" s="141">
        <v>45507</v>
      </c>
      <c r="S39" s="271">
        <v>31</v>
      </c>
      <c r="T39" s="99">
        <v>5</v>
      </c>
      <c r="U39" s="99">
        <v>5</v>
      </c>
      <c r="V39" s="99">
        <v>4</v>
      </c>
      <c r="W39" s="99">
        <v>0</v>
      </c>
      <c r="X39" s="142">
        <v>1</v>
      </c>
      <c r="Y39" s="142">
        <v>0.5</v>
      </c>
      <c r="Z39" s="142">
        <v>0.5</v>
      </c>
      <c r="AC39" s="99">
        <v>0</v>
      </c>
    </row>
    <row r="40" spans="1:29">
      <c r="A40" s="143" t="s">
        <v>92</v>
      </c>
      <c r="B40" s="143" t="s">
        <v>1514</v>
      </c>
      <c r="C40" s="143" t="s">
        <v>76</v>
      </c>
      <c r="D40" s="143" t="s">
        <v>1343</v>
      </c>
      <c r="E40" s="143" t="s">
        <v>1342</v>
      </c>
      <c r="F40" s="143" t="s">
        <v>1514</v>
      </c>
      <c r="M40" s="143" t="s">
        <v>1579</v>
      </c>
      <c r="N40" s="143" t="s">
        <v>1351</v>
      </c>
      <c r="O40" s="141">
        <v>45499</v>
      </c>
      <c r="P40" s="141">
        <v>45512</v>
      </c>
      <c r="Q40" s="141">
        <v>45508</v>
      </c>
      <c r="R40" s="141">
        <v>45514</v>
      </c>
      <c r="S40" s="271">
        <v>32</v>
      </c>
      <c r="T40" s="99">
        <v>6</v>
      </c>
      <c r="U40" s="99">
        <v>4</v>
      </c>
      <c r="V40" s="99">
        <v>0</v>
      </c>
      <c r="W40" s="99">
        <v>0</v>
      </c>
      <c r="X40" s="142">
        <v>1</v>
      </c>
      <c r="Y40" s="142">
        <v>0.5</v>
      </c>
      <c r="Z40" s="142">
        <v>0.5</v>
      </c>
      <c r="AC40" s="99">
        <v>0</v>
      </c>
    </row>
    <row r="41" spans="1:29">
      <c r="A41" s="143" t="s">
        <v>92</v>
      </c>
      <c r="B41" s="143" t="s">
        <v>1514</v>
      </c>
      <c r="C41" s="143" t="s">
        <v>76</v>
      </c>
      <c r="D41" s="143" t="s">
        <v>1343</v>
      </c>
      <c r="E41" s="143" t="s">
        <v>1342</v>
      </c>
      <c r="F41" s="143" t="s">
        <v>1514</v>
      </c>
      <c r="M41" s="143" t="s">
        <v>1579</v>
      </c>
      <c r="N41" s="143" t="s">
        <v>1614</v>
      </c>
      <c r="O41" s="141">
        <v>45499</v>
      </c>
      <c r="P41" s="141">
        <v>45512</v>
      </c>
      <c r="Q41" s="141">
        <v>45508</v>
      </c>
      <c r="R41" s="141">
        <v>45514</v>
      </c>
      <c r="S41" s="271">
        <v>32</v>
      </c>
      <c r="T41" s="99">
        <v>6</v>
      </c>
      <c r="U41" s="99">
        <v>4</v>
      </c>
      <c r="V41" s="99">
        <v>0</v>
      </c>
      <c r="W41" s="99">
        <v>0</v>
      </c>
      <c r="X41" s="142">
        <v>1</v>
      </c>
      <c r="Y41" s="142">
        <v>0.5</v>
      </c>
      <c r="Z41" s="142">
        <v>0.5</v>
      </c>
      <c r="AC41" s="99">
        <v>0</v>
      </c>
    </row>
    <row r="42" spans="1:29">
      <c r="A42" s="143" t="s">
        <v>92</v>
      </c>
      <c r="B42" s="143" t="s">
        <v>1515</v>
      </c>
      <c r="C42" s="143" t="s">
        <v>76</v>
      </c>
      <c r="D42" s="143" t="s">
        <v>1343</v>
      </c>
      <c r="E42" s="143" t="s">
        <v>1342</v>
      </c>
      <c r="F42" s="143" t="s">
        <v>1515</v>
      </c>
      <c r="M42" s="143" t="s">
        <v>1575</v>
      </c>
      <c r="N42" s="143" t="s">
        <v>1550</v>
      </c>
      <c r="O42" s="141">
        <v>45474</v>
      </c>
      <c r="P42" s="141">
        <v>45504</v>
      </c>
      <c r="Q42" s="141">
        <v>45474</v>
      </c>
      <c r="R42" s="141">
        <v>45479</v>
      </c>
      <c r="S42" s="271">
        <v>27</v>
      </c>
      <c r="T42" s="99">
        <v>1</v>
      </c>
      <c r="U42" s="99">
        <v>5</v>
      </c>
      <c r="V42" s="99">
        <v>5</v>
      </c>
      <c r="W42" s="99">
        <v>0</v>
      </c>
      <c r="X42" s="142">
        <v>1</v>
      </c>
      <c r="Y42" s="142">
        <v>1</v>
      </c>
      <c r="Z42" s="142">
        <v>1</v>
      </c>
      <c r="AC42" s="99">
        <v>5</v>
      </c>
    </row>
    <row r="43" spans="1:29">
      <c r="A43" s="143" t="s">
        <v>92</v>
      </c>
      <c r="B43" s="143" t="s">
        <v>1515</v>
      </c>
      <c r="C43" s="143" t="s">
        <v>76</v>
      </c>
      <c r="D43" s="143" t="s">
        <v>1343</v>
      </c>
      <c r="E43" s="143" t="s">
        <v>1342</v>
      </c>
      <c r="F43" s="143" t="s">
        <v>1515</v>
      </c>
      <c r="M43" s="143" t="s">
        <v>1575</v>
      </c>
      <c r="N43" s="143" t="s">
        <v>1550</v>
      </c>
      <c r="O43" s="141">
        <v>45474</v>
      </c>
      <c r="P43" s="141">
        <v>45504</v>
      </c>
      <c r="Q43" s="141">
        <v>45480</v>
      </c>
      <c r="R43" s="141">
        <v>45486</v>
      </c>
      <c r="S43" s="271">
        <v>28</v>
      </c>
      <c r="T43" s="99">
        <v>2</v>
      </c>
      <c r="U43" s="99">
        <v>5</v>
      </c>
      <c r="V43" s="99">
        <v>5</v>
      </c>
      <c r="W43" s="99">
        <v>0</v>
      </c>
      <c r="X43" s="142">
        <v>1</v>
      </c>
      <c r="Y43" s="142">
        <v>1</v>
      </c>
      <c r="Z43" s="142">
        <v>1</v>
      </c>
      <c r="AC43" s="99">
        <v>5</v>
      </c>
    </row>
    <row r="44" spans="1:29">
      <c r="A44" s="143" t="s">
        <v>92</v>
      </c>
      <c r="B44" s="143" t="s">
        <v>1515</v>
      </c>
      <c r="C44" s="143" t="s">
        <v>76</v>
      </c>
      <c r="D44" s="143" t="s">
        <v>1343</v>
      </c>
      <c r="E44" s="143" t="s">
        <v>1342</v>
      </c>
      <c r="F44" s="143" t="s">
        <v>1515</v>
      </c>
      <c r="M44" s="143" t="s">
        <v>1575</v>
      </c>
      <c r="N44" s="143" t="s">
        <v>1550</v>
      </c>
      <c r="O44" s="141">
        <v>45474</v>
      </c>
      <c r="P44" s="141">
        <v>45504</v>
      </c>
      <c r="Q44" s="141">
        <v>45487</v>
      </c>
      <c r="R44" s="141">
        <v>45493</v>
      </c>
      <c r="S44" s="271">
        <v>29</v>
      </c>
      <c r="T44" s="99">
        <v>3</v>
      </c>
      <c r="U44" s="99">
        <v>5</v>
      </c>
      <c r="V44" s="99">
        <v>5</v>
      </c>
      <c r="W44" s="99">
        <v>0</v>
      </c>
      <c r="X44" s="142">
        <v>1</v>
      </c>
      <c r="Y44" s="142">
        <v>1</v>
      </c>
      <c r="Z44" s="142">
        <v>1</v>
      </c>
      <c r="AC44" s="99">
        <v>5</v>
      </c>
    </row>
    <row r="45" spans="1:29">
      <c r="A45" s="143" t="s">
        <v>92</v>
      </c>
      <c r="B45" s="143" t="s">
        <v>1515</v>
      </c>
      <c r="C45" s="143" t="s">
        <v>76</v>
      </c>
      <c r="D45" s="143" t="s">
        <v>1343</v>
      </c>
      <c r="E45" s="143" t="s">
        <v>1342</v>
      </c>
      <c r="F45" s="143" t="s">
        <v>1515</v>
      </c>
      <c r="M45" s="143" t="s">
        <v>1575</v>
      </c>
      <c r="N45" s="143" t="s">
        <v>1550</v>
      </c>
      <c r="O45" s="141">
        <v>45474</v>
      </c>
      <c r="P45" s="141">
        <v>45504</v>
      </c>
      <c r="Q45" s="141">
        <v>45494</v>
      </c>
      <c r="R45" s="141">
        <v>45500</v>
      </c>
      <c r="S45" s="271">
        <v>30</v>
      </c>
      <c r="T45" s="99">
        <v>4</v>
      </c>
      <c r="U45" s="99">
        <v>5</v>
      </c>
      <c r="V45" s="99">
        <v>5</v>
      </c>
      <c r="W45" s="99">
        <v>0</v>
      </c>
      <c r="X45" s="142">
        <v>1</v>
      </c>
      <c r="Y45" s="142">
        <v>1</v>
      </c>
      <c r="Z45" s="142">
        <v>1</v>
      </c>
      <c r="AC45" s="99">
        <v>5</v>
      </c>
    </row>
    <row r="46" spans="1:29">
      <c r="A46" s="143" t="s">
        <v>92</v>
      </c>
      <c r="B46" s="143" t="s">
        <v>1515</v>
      </c>
      <c r="C46" s="143" t="s">
        <v>76</v>
      </c>
      <c r="D46" s="143" t="s">
        <v>1343</v>
      </c>
      <c r="E46" s="143" t="s">
        <v>1342</v>
      </c>
      <c r="F46" s="143" t="s">
        <v>1515</v>
      </c>
      <c r="M46" s="143" t="s">
        <v>1575</v>
      </c>
      <c r="N46" s="143" t="s">
        <v>1550</v>
      </c>
      <c r="O46" s="141">
        <v>45474</v>
      </c>
      <c r="P46" s="141">
        <v>45504</v>
      </c>
      <c r="Q46" s="141">
        <v>45501</v>
      </c>
      <c r="R46" s="141">
        <v>45507</v>
      </c>
      <c r="S46" s="271">
        <v>31</v>
      </c>
      <c r="T46" s="99">
        <v>5</v>
      </c>
      <c r="U46" s="99">
        <v>3</v>
      </c>
      <c r="V46" s="99">
        <v>3</v>
      </c>
      <c r="W46" s="99">
        <v>0</v>
      </c>
      <c r="X46" s="142">
        <v>1</v>
      </c>
      <c r="Y46" s="142">
        <v>1</v>
      </c>
      <c r="Z46" s="142">
        <v>1</v>
      </c>
      <c r="AC46" s="99">
        <v>3</v>
      </c>
    </row>
    <row r="47" spans="1:29">
      <c r="A47" s="143" t="s">
        <v>92</v>
      </c>
      <c r="B47" s="143" t="s">
        <v>1517</v>
      </c>
      <c r="C47" s="143" t="s">
        <v>76</v>
      </c>
      <c r="D47" s="143" t="s">
        <v>1346</v>
      </c>
      <c r="E47" s="143" t="s">
        <v>1345</v>
      </c>
      <c r="F47" s="143" t="s">
        <v>1517</v>
      </c>
      <c r="M47" s="143" t="s">
        <v>1583</v>
      </c>
      <c r="N47" s="143" t="s">
        <v>1551</v>
      </c>
      <c r="O47" s="141">
        <v>45505</v>
      </c>
      <c r="P47" s="141">
        <v>45512</v>
      </c>
      <c r="Q47" s="141">
        <v>45501</v>
      </c>
      <c r="R47" s="141">
        <v>45507</v>
      </c>
      <c r="S47" s="271">
        <v>31</v>
      </c>
      <c r="T47" s="99">
        <v>5</v>
      </c>
      <c r="U47" s="99">
        <v>2</v>
      </c>
      <c r="V47" s="99">
        <v>1</v>
      </c>
      <c r="W47" s="99">
        <v>0</v>
      </c>
      <c r="X47" s="142">
        <v>1</v>
      </c>
      <c r="Y47" s="142">
        <v>0.16666666666666666</v>
      </c>
      <c r="Z47" s="142">
        <v>0</v>
      </c>
      <c r="AC47" s="99">
        <v>0</v>
      </c>
    </row>
    <row r="48" spans="1:29">
      <c r="A48" s="143" t="s">
        <v>92</v>
      </c>
      <c r="B48" s="143" t="s">
        <v>1517</v>
      </c>
      <c r="C48" s="143" t="s">
        <v>76</v>
      </c>
      <c r="D48" s="143" t="s">
        <v>1346</v>
      </c>
      <c r="E48" s="143" t="s">
        <v>1345</v>
      </c>
      <c r="F48" s="143" t="s">
        <v>1517</v>
      </c>
      <c r="M48" s="143" t="s">
        <v>1583</v>
      </c>
      <c r="N48" s="143" t="s">
        <v>1551</v>
      </c>
      <c r="O48" s="141">
        <v>45505</v>
      </c>
      <c r="P48" s="141">
        <v>45512</v>
      </c>
      <c r="Q48" s="141">
        <v>45508</v>
      </c>
      <c r="R48" s="141">
        <v>45514</v>
      </c>
      <c r="S48" s="271">
        <v>32</v>
      </c>
      <c r="T48" s="99">
        <v>6</v>
      </c>
      <c r="U48" s="99">
        <v>4</v>
      </c>
      <c r="V48" s="99">
        <v>0</v>
      </c>
      <c r="W48" s="99">
        <v>0</v>
      </c>
      <c r="X48" s="142">
        <v>1</v>
      </c>
      <c r="Y48" s="142">
        <v>0.16666666666666666</v>
      </c>
      <c r="Z48" s="142">
        <v>0</v>
      </c>
      <c r="AC48" s="99">
        <v>0</v>
      </c>
    </row>
    <row r="49" spans="1:29">
      <c r="A49" s="143" t="s">
        <v>92</v>
      </c>
      <c r="B49" s="143" t="s">
        <v>1518</v>
      </c>
      <c r="C49" s="143" t="s">
        <v>76</v>
      </c>
      <c r="D49" s="143" t="s">
        <v>1346</v>
      </c>
      <c r="E49" s="143" t="s">
        <v>1345</v>
      </c>
      <c r="F49" s="143" t="s">
        <v>1518</v>
      </c>
      <c r="M49" s="143" t="s">
        <v>1584</v>
      </c>
      <c r="N49" s="143" t="s">
        <v>1551</v>
      </c>
      <c r="O49" s="141">
        <v>45492</v>
      </c>
      <c r="P49" s="141">
        <v>45503</v>
      </c>
      <c r="Q49" s="141">
        <v>45487</v>
      </c>
      <c r="R49" s="141">
        <v>45493</v>
      </c>
      <c r="S49" s="271">
        <v>29</v>
      </c>
      <c r="T49" s="99">
        <v>3</v>
      </c>
      <c r="U49" s="99">
        <v>1</v>
      </c>
      <c r="V49" s="99">
        <v>1</v>
      </c>
      <c r="W49" s="99">
        <v>0</v>
      </c>
      <c r="X49" s="142">
        <v>1</v>
      </c>
      <c r="Y49" s="142">
        <v>1</v>
      </c>
      <c r="Z49" s="142">
        <v>1</v>
      </c>
      <c r="AC49" s="99">
        <v>5</v>
      </c>
    </row>
    <row r="50" spans="1:29">
      <c r="A50" s="143" t="s">
        <v>92</v>
      </c>
      <c r="B50" s="143" t="s">
        <v>1518</v>
      </c>
      <c r="C50" s="143" t="s">
        <v>76</v>
      </c>
      <c r="D50" s="143" t="s">
        <v>1346</v>
      </c>
      <c r="E50" s="143" t="s">
        <v>1345</v>
      </c>
      <c r="F50" s="143" t="s">
        <v>1518</v>
      </c>
      <c r="M50" s="143" t="s">
        <v>1584</v>
      </c>
      <c r="N50" s="143" t="s">
        <v>1551</v>
      </c>
      <c r="O50" s="141">
        <v>45492</v>
      </c>
      <c r="P50" s="141">
        <v>45503</v>
      </c>
      <c r="Q50" s="141">
        <v>45494</v>
      </c>
      <c r="R50" s="141">
        <v>45500</v>
      </c>
      <c r="S50" s="271">
        <v>30</v>
      </c>
      <c r="T50" s="99">
        <v>4</v>
      </c>
      <c r="U50" s="99">
        <v>5</v>
      </c>
      <c r="V50" s="99">
        <v>5</v>
      </c>
      <c r="W50" s="99">
        <v>0</v>
      </c>
      <c r="X50" s="142">
        <v>1</v>
      </c>
      <c r="Y50" s="142">
        <v>1</v>
      </c>
      <c r="Z50" s="142">
        <v>1</v>
      </c>
      <c r="AC50" s="99">
        <v>3</v>
      </c>
    </row>
    <row r="51" spans="1:29">
      <c r="A51" s="143" t="s">
        <v>92</v>
      </c>
      <c r="B51" s="143" t="s">
        <v>1518</v>
      </c>
      <c r="C51" s="143" t="s">
        <v>76</v>
      </c>
      <c r="D51" s="143" t="s">
        <v>1346</v>
      </c>
      <c r="E51" s="143" t="s">
        <v>1345</v>
      </c>
      <c r="F51" s="143" t="s">
        <v>1518</v>
      </c>
      <c r="M51" s="143" t="s">
        <v>1584</v>
      </c>
      <c r="N51" s="143" t="s">
        <v>1551</v>
      </c>
      <c r="O51" s="141">
        <v>45492</v>
      </c>
      <c r="P51" s="141">
        <v>45503</v>
      </c>
      <c r="Q51" s="141">
        <v>45501</v>
      </c>
      <c r="R51" s="141">
        <v>45507</v>
      </c>
      <c r="S51" s="271">
        <v>31</v>
      </c>
      <c r="T51" s="99">
        <v>5</v>
      </c>
      <c r="U51" s="99">
        <v>2</v>
      </c>
      <c r="V51" s="99">
        <v>2</v>
      </c>
      <c r="W51" s="99">
        <v>0</v>
      </c>
      <c r="X51" s="142">
        <v>1</v>
      </c>
      <c r="Y51" s="142">
        <v>1</v>
      </c>
      <c r="Z51" s="142">
        <v>1</v>
      </c>
      <c r="AC51" s="99">
        <v>0</v>
      </c>
    </row>
    <row r="52" spans="1:29">
      <c r="A52" s="143" t="s">
        <v>92</v>
      </c>
      <c r="B52" s="143" t="s">
        <v>1519</v>
      </c>
      <c r="C52" s="143" t="s">
        <v>76</v>
      </c>
      <c r="D52" s="143" t="s">
        <v>1346</v>
      </c>
      <c r="E52" s="143" t="s">
        <v>1345</v>
      </c>
      <c r="F52" s="143" t="s">
        <v>1519</v>
      </c>
      <c r="M52" s="143" t="s">
        <v>1585</v>
      </c>
      <c r="N52" s="143" t="s">
        <v>1551</v>
      </c>
      <c r="O52" s="141">
        <v>45492</v>
      </c>
      <c r="P52" s="141">
        <v>45503</v>
      </c>
      <c r="Q52" s="141">
        <v>45487</v>
      </c>
      <c r="R52" s="141">
        <v>45493</v>
      </c>
      <c r="S52" s="271">
        <v>29</v>
      </c>
      <c r="T52" s="99">
        <v>3</v>
      </c>
      <c r="U52" s="99">
        <v>1</v>
      </c>
      <c r="V52" s="99">
        <v>1</v>
      </c>
      <c r="W52" s="99">
        <v>0</v>
      </c>
      <c r="X52" s="142">
        <v>1</v>
      </c>
      <c r="Y52" s="142">
        <v>1</v>
      </c>
      <c r="Z52" s="142">
        <v>1</v>
      </c>
      <c r="AC52" s="99">
        <v>5</v>
      </c>
    </row>
    <row r="53" spans="1:29">
      <c r="A53" s="143" t="s">
        <v>92</v>
      </c>
      <c r="B53" s="143" t="s">
        <v>1519</v>
      </c>
      <c r="C53" s="143" t="s">
        <v>76</v>
      </c>
      <c r="D53" s="143" t="s">
        <v>1346</v>
      </c>
      <c r="E53" s="143" t="s">
        <v>1345</v>
      </c>
      <c r="F53" s="143" t="s">
        <v>1519</v>
      </c>
      <c r="M53" s="143" t="s">
        <v>1585</v>
      </c>
      <c r="N53" s="143" t="s">
        <v>1551</v>
      </c>
      <c r="O53" s="141">
        <v>45492</v>
      </c>
      <c r="P53" s="141">
        <v>45503</v>
      </c>
      <c r="Q53" s="141">
        <v>45494</v>
      </c>
      <c r="R53" s="141">
        <v>45500</v>
      </c>
      <c r="S53" s="271">
        <v>30</v>
      </c>
      <c r="T53" s="99">
        <v>4</v>
      </c>
      <c r="U53" s="99">
        <v>5</v>
      </c>
      <c r="V53" s="99">
        <v>5</v>
      </c>
      <c r="W53" s="99">
        <v>0</v>
      </c>
      <c r="X53" s="142">
        <v>1</v>
      </c>
      <c r="Y53" s="142">
        <v>1</v>
      </c>
      <c r="Z53" s="142">
        <v>1</v>
      </c>
      <c r="AC53" s="99">
        <v>3</v>
      </c>
    </row>
    <row r="54" spans="1:29">
      <c r="A54" s="143" t="s">
        <v>92</v>
      </c>
      <c r="B54" s="143" t="s">
        <v>1519</v>
      </c>
      <c r="C54" s="143" t="s">
        <v>76</v>
      </c>
      <c r="D54" s="143" t="s">
        <v>1346</v>
      </c>
      <c r="E54" s="143" t="s">
        <v>1345</v>
      </c>
      <c r="F54" s="143" t="s">
        <v>1519</v>
      </c>
      <c r="M54" s="143" t="s">
        <v>1585</v>
      </c>
      <c r="N54" s="143" t="s">
        <v>1551</v>
      </c>
      <c r="O54" s="141">
        <v>45492</v>
      </c>
      <c r="P54" s="141">
        <v>45503</v>
      </c>
      <c r="Q54" s="141">
        <v>45501</v>
      </c>
      <c r="R54" s="141">
        <v>45507</v>
      </c>
      <c r="S54" s="271">
        <v>31</v>
      </c>
      <c r="T54" s="99">
        <v>5</v>
      </c>
      <c r="U54" s="99">
        <v>2</v>
      </c>
      <c r="V54" s="99">
        <v>2</v>
      </c>
      <c r="W54" s="99">
        <v>0</v>
      </c>
      <c r="X54" s="142">
        <v>1</v>
      </c>
      <c r="Y54" s="142">
        <v>1</v>
      </c>
      <c r="Z54" s="142">
        <v>1</v>
      </c>
      <c r="AC54" s="99">
        <v>0</v>
      </c>
    </row>
    <row r="55" spans="1:29">
      <c r="A55" s="143" t="s">
        <v>92</v>
      </c>
      <c r="B55" s="143" t="s">
        <v>1520</v>
      </c>
      <c r="C55" s="143" t="s">
        <v>76</v>
      </c>
      <c r="D55" s="143" t="s">
        <v>1346</v>
      </c>
      <c r="E55" s="143" t="s">
        <v>1345</v>
      </c>
      <c r="F55" s="143" t="s">
        <v>1520</v>
      </c>
      <c r="M55" s="143" t="s">
        <v>1559</v>
      </c>
      <c r="N55" s="143" t="s">
        <v>1551</v>
      </c>
      <c r="O55" s="141">
        <v>45492</v>
      </c>
      <c r="P55" s="141">
        <v>45503</v>
      </c>
      <c r="Q55" s="141">
        <v>45487</v>
      </c>
      <c r="R55" s="141">
        <v>45493</v>
      </c>
      <c r="S55" s="271">
        <v>29</v>
      </c>
      <c r="T55" s="99">
        <v>3</v>
      </c>
      <c r="U55" s="99">
        <v>1</v>
      </c>
      <c r="V55" s="99">
        <v>1</v>
      </c>
      <c r="W55" s="99">
        <v>0</v>
      </c>
      <c r="X55" s="142">
        <v>1</v>
      </c>
      <c r="Y55" s="142">
        <v>1</v>
      </c>
      <c r="Z55" s="142">
        <v>1</v>
      </c>
      <c r="AC55" s="99">
        <v>5</v>
      </c>
    </row>
    <row r="56" spans="1:29">
      <c r="A56" s="143" t="s">
        <v>92</v>
      </c>
      <c r="B56" s="143" t="s">
        <v>1520</v>
      </c>
      <c r="C56" s="143" t="s">
        <v>76</v>
      </c>
      <c r="D56" s="143" t="s">
        <v>1346</v>
      </c>
      <c r="E56" s="143" t="s">
        <v>1345</v>
      </c>
      <c r="F56" s="143" t="s">
        <v>1520</v>
      </c>
      <c r="M56" s="143" t="s">
        <v>1559</v>
      </c>
      <c r="N56" s="143" t="s">
        <v>1551</v>
      </c>
      <c r="O56" s="141">
        <v>45492</v>
      </c>
      <c r="P56" s="141">
        <v>45503</v>
      </c>
      <c r="Q56" s="141">
        <v>45494</v>
      </c>
      <c r="R56" s="141">
        <v>45500</v>
      </c>
      <c r="S56" s="271">
        <v>30</v>
      </c>
      <c r="T56" s="99">
        <v>4</v>
      </c>
      <c r="U56" s="99">
        <v>5</v>
      </c>
      <c r="V56" s="99">
        <v>5</v>
      </c>
      <c r="W56" s="99">
        <v>0</v>
      </c>
      <c r="X56" s="142">
        <v>1</v>
      </c>
      <c r="Y56" s="142">
        <v>1</v>
      </c>
      <c r="Z56" s="142">
        <v>1</v>
      </c>
      <c r="AC56" s="99">
        <v>3</v>
      </c>
    </row>
    <row r="57" spans="1:29">
      <c r="A57" s="143" t="s">
        <v>92</v>
      </c>
      <c r="B57" s="143" t="s">
        <v>1520</v>
      </c>
      <c r="C57" s="143" t="s">
        <v>76</v>
      </c>
      <c r="D57" s="143" t="s">
        <v>1346</v>
      </c>
      <c r="E57" s="143" t="s">
        <v>1345</v>
      </c>
      <c r="F57" s="143" t="s">
        <v>1520</v>
      </c>
      <c r="M57" s="143" t="s">
        <v>1559</v>
      </c>
      <c r="N57" s="143" t="s">
        <v>1551</v>
      </c>
      <c r="O57" s="141">
        <v>45492</v>
      </c>
      <c r="P57" s="141">
        <v>45503</v>
      </c>
      <c r="Q57" s="141">
        <v>45501</v>
      </c>
      <c r="R57" s="141">
        <v>45507</v>
      </c>
      <c r="S57" s="271">
        <v>31</v>
      </c>
      <c r="T57" s="99">
        <v>5</v>
      </c>
      <c r="U57" s="99">
        <v>2</v>
      </c>
      <c r="V57" s="99">
        <v>2</v>
      </c>
      <c r="W57" s="99">
        <v>0</v>
      </c>
      <c r="X57" s="142">
        <v>1</v>
      </c>
      <c r="Y57" s="142">
        <v>1</v>
      </c>
      <c r="Z57" s="142">
        <v>1</v>
      </c>
      <c r="AC57" s="99">
        <v>0</v>
      </c>
    </row>
    <row r="58" spans="1:29">
      <c r="A58" s="143" t="s">
        <v>92</v>
      </c>
      <c r="B58" s="143" t="s">
        <v>1521</v>
      </c>
      <c r="C58" s="143" t="s">
        <v>76</v>
      </c>
      <c r="D58" s="143" t="s">
        <v>1346</v>
      </c>
      <c r="E58" s="143" t="s">
        <v>1345</v>
      </c>
      <c r="F58" s="143" t="s">
        <v>1521</v>
      </c>
      <c r="M58" s="143" t="s">
        <v>1560</v>
      </c>
      <c r="N58" s="143" t="s">
        <v>1551</v>
      </c>
      <c r="O58" s="141">
        <v>45497</v>
      </c>
      <c r="P58" s="141">
        <v>45512</v>
      </c>
      <c r="Q58" s="141">
        <v>45494</v>
      </c>
      <c r="R58" s="141">
        <v>45500</v>
      </c>
      <c r="S58" s="271">
        <v>30</v>
      </c>
      <c r="T58" s="99">
        <v>4</v>
      </c>
      <c r="U58" s="99">
        <v>3</v>
      </c>
      <c r="V58" s="99">
        <v>3</v>
      </c>
      <c r="W58" s="99">
        <v>0</v>
      </c>
      <c r="X58" s="142">
        <v>1</v>
      </c>
      <c r="Y58" s="142">
        <v>0.58333333333333337</v>
      </c>
      <c r="Z58" s="142">
        <v>0</v>
      </c>
      <c r="AC58" s="99">
        <v>0</v>
      </c>
    </row>
    <row r="59" spans="1:29">
      <c r="A59" s="143" t="s">
        <v>92</v>
      </c>
      <c r="B59" s="143" t="s">
        <v>1521</v>
      </c>
      <c r="C59" s="143" t="s">
        <v>76</v>
      </c>
      <c r="D59" s="143" t="s">
        <v>1346</v>
      </c>
      <c r="E59" s="143" t="s">
        <v>1345</v>
      </c>
      <c r="F59" s="143" t="s">
        <v>1521</v>
      </c>
      <c r="M59" s="143" t="s">
        <v>1560</v>
      </c>
      <c r="N59" s="143" t="s">
        <v>1551</v>
      </c>
      <c r="O59" s="141">
        <v>45497</v>
      </c>
      <c r="P59" s="141">
        <v>45512</v>
      </c>
      <c r="Q59" s="141">
        <v>45501</v>
      </c>
      <c r="R59" s="141">
        <v>45507</v>
      </c>
      <c r="S59" s="271">
        <v>31</v>
      </c>
      <c r="T59" s="99">
        <v>5</v>
      </c>
      <c r="U59" s="99">
        <v>5</v>
      </c>
      <c r="V59" s="99">
        <v>4</v>
      </c>
      <c r="W59" s="99">
        <v>0</v>
      </c>
      <c r="X59" s="142">
        <v>1</v>
      </c>
      <c r="Y59" s="142">
        <v>0.58333333333333337</v>
      </c>
      <c r="Z59" s="142">
        <v>0</v>
      </c>
      <c r="AC59" s="99">
        <v>0</v>
      </c>
    </row>
    <row r="60" spans="1:29">
      <c r="A60" s="143" t="s">
        <v>92</v>
      </c>
      <c r="B60" s="143" t="s">
        <v>1521</v>
      </c>
      <c r="C60" s="143" t="s">
        <v>76</v>
      </c>
      <c r="D60" s="143" t="s">
        <v>1346</v>
      </c>
      <c r="E60" s="143" t="s">
        <v>1345</v>
      </c>
      <c r="F60" s="143" t="s">
        <v>1521</v>
      </c>
      <c r="M60" s="143" t="s">
        <v>1560</v>
      </c>
      <c r="N60" s="143" t="s">
        <v>1551</v>
      </c>
      <c r="O60" s="141">
        <v>45497</v>
      </c>
      <c r="P60" s="141">
        <v>45512</v>
      </c>
      <c r="Q60" s="141">
        <v>45508</v>
      </c>
      <c r="R60" s="141">
        <v>45514</v>
      </c>
      <c r="S60" s="271">
        <v>32</v>
      </c>
      <c r="T60" s="99">
        <v>6</v>
      </c>
      <c r="U60" s="99">
        <v>4</v>
      </c>
      <c r="V60" s="99">
        <v>0</v>
      </c>
      <c r="W60" s="99">
        <v>0</v>
      </c>
      <c r="X60" s="142">
        <v>1</v>
      </c>
      <c r="Y60" s="142">
        <v>0.58333333333333337</v>
      </c>
      <c r="Z60" s="142">
        <v>0</v>
      </c>
      <c r="AC60" s="99">
        <v>0</v>
      </c>
    </row>
    <row r="61" spans="1:29">
      <c r="A61" s="143" t="s">
        <v>92</v>
      </c>
      <c r="B61" s="143" t="s">
        <v>1522</v>
      </c>
      <c r="C61" s="143" t="s">
        <v>76</v>
      </c>
      <c r="D61" s="143" t="s">
        <v>1346</v>
      </c>
      <c r="E61" s="143" t="s">
        <v>1347</v>
      </c>
      <c r="F61" s="143" t="s">
        <v>1522</v>
      </c>
      <c r="M61" s="143" t="s">
        <v>1583</v>
      </c>
      <c r="N61" s="143" t="s">
        <v>1610</v>
      </c>
      <c r="O61" s="141">
        <v>45516</v>
      </c>
      <c r="P61" s="141">
        <v>45520</v>
      </c>
      <c r="Q61" s="141">
        <v>45515</v>
      </c>
      <c r="R61" s="141">
        <v>45521</v>
      </c>
      <c r="S61" s="271">
        <v>33</v>
      </c>
      <c r="T61" s="99">
        <v>7</v>
      </c>
      <c r="U61" s="99">
        <v>5</v>
      </c>
      <c r="V61" s="99">
        <v>0</v>
      </c>
      <c r="W61" s="99">
        <v>0</v>
      </c>
      <c r="X61" s="142">
        <v>1</v>
      </c>
      <c r="Y61" s="142">
        <v>0</v>
      </c>
      <c r="Z61" s="142">
        <v>0</v>
      </c>
      <c r="AC61" s="99">
        <v>0</v>
      </c>
    </row>
    <row r="62" spans="1:29">
      <c r="A62" s="143" t="s">
        <v>92</v>
      </c>
      <c r="B62" s="143" t="s">
        <v>1523</v>
      </c>
      <c r="C62" s="143" t="s">
        <v>76</v>
      </c>
      <c r="D62" s="143" t="s">
        <v>1346</v>
      </c>
      <c r="E62" s="143" t="s">
        <v>1347</v>
      </c>
      <c r="F62" s="143" t="s">
        <v>1523</v>
      </c>
      <c r="M62" s="143" t="s">
        <v>1584</v>
      </c>
      <c r="N62" s="143" t="s">
        <v>1610</v>
      </c>
      <c r="O62" s="141">
        <v>45502</v>
      </c>
      <c r="P62" s="141">
        <v>45506</v>
      </c>
      <c r="Q62" s="141">
        <v>45501</v>
      </c>
      <c r="R62" s="141">
        <v>45507</v>
      </c>
      <c r="S62" s="271">
        <v>31</v>
      </c>
      <c r="T62" s="99">
        <v>5</v>
      </c>
      <c r="U62" s="99">
        <v>5</v>
      </c>
      <c r="V62" s="99">
        <v>4</v>
      </c>
      <c r="W62" s="99">
        <v>0</v>
      </c>
      <c r="X62" s="142">
        <v>1</v>
      </c>
      <c r="Y62" s="142">
        <v>0.8</v>
      </c>
      <c r="Z62" s="142">
        <v>0</v>
      </c>
      <c r="AC62" s="99">
        <v>0</v>
      </c>
    </row>
    <row r="63" spans="1:29">
      <c r="A63" s="143" t="s">
        <v>92</v>
      </c>
      <c r="B63" s="143" t="s">
        <v>1524</v>
      </c>
      <c r="C63" s="143" t="s">
        <v>76</v>
      </c>
      <c r="D63" s="143" t="s">
        <v>1346</v>
      </c>
      <c r="E63" s="143" t="s">
        <v>1347</v>
      </c>
      <c r="F63" s="143" t="s">
        <v>1524</v>
      </c>
      <c r="M63" s="143" t="s">
        <v>1585</v>
      </c>
      <c r="N63" s="143" t="s">
        <v>1610</v>
      </c>
      <c r="O63" s="141">
        <v>45509</v>
      </c>
      <c r="P63" s="141">
        <v>45513</v>
      </c>
      <c r="Q63" s="141">
        <v>45508</v>
      </c>
      <c r="R63" s="141">
        <v>45514</v>
      </c>
      <c r="S63" s="271">
        <v>32</v>
      </c>
      <c r="T63" s="99">
        <v>6</v>
      </c>
      <c r="U63" s="99">
        <v>5</v>
      </c>
      <c r="V63" s="99">
        <v>0</v>
      </c>
      <c r="W63" s="99">
        <v>0</v>
      </c>
      <c r="X63" s="142">
        <v>1</v>
      </c>
      <c r="Y63" s="142">
        <v>0</v>
      </c>
      <c r="Z63" s="142">
        <v>0</v>
      </c>
      <c r="AC63" s="99">
        <v>0</v>
      </c>
    </row>
    <row r="64" spans="1:29">
      <c r="A64" s="143" t="s">
        <v>92</v>
      </c>
      <c r="B64" s="143" t="s">
        <v>1598</v>
      </c>
      <c r="C64" s="143" t="s">
        <v>76</v>
      </c>
      <c r="D64" s="143" t="s">
        <v>1346</v>
      </c>
      <c r="E64" s="143" t="s">
        <v>1347</v>
      </c>
      <c r="F64" s="143" t="s">
        <v>1598</v>
      </c>
      <c r="M64" s="143" t="s">
        <v>1559</v>
      </c>
      <c r="N64" s="143" t="s">
        <v>1610</v>
      </c>
      <c r="O64" s="141">
        <v>45509</v>
      </c>
      <c r="P64" s="141">
        <v>45513</v>
      </c>
      <c r="Q64" s="141">
        <v>45508</v>
      </c>
      <c r="R64" s="141">
        <v>45514</v>
      </c>
      <c r="S64" s="271">
        <v>32</v>
      </c>
      <c r="T64" s="99">
        <v>6</v>
      </c>
      <c r="U64" s="99">
        <v>5</v>
      </c>
      <c r="V64" s="99">
        <v>0</v>
      </c>
      <c r="W64" s="99">
        <v>0</v>
      </c>
      <c r="X64" s="142">
        <v>1</v>
      </c>
      <c r="Y64" s="142">
        <v>0</v>
      </c>
      <c r="Z64" s="142">
        <v>0</v>
      </c>
      <c r="AC64" s="99">
        <v>0</v>
      </c>
    </row>
    <row r="65" spans="1:29">
      <c r="A65" s="143" t="s">
        <v>92</v>
      </c>
      <c r="B65" s="143" t="s">
        <v>1528</v>
      </c>
      <c r="C65" s="143" t="s">
        <v>76</v>
      </c>
      <c r="D65" s="143" t="s">
        <v>1526</v>
      </c>
      <c r="E65" s="143" t="s">
        <v>1527</v>
      </c>
      <c r="F65" s="143" t="s">
        <v>1528</v>
      </c>
      <c r="M65" s="143" t="s">
        <v>1590</v>
      </c>
      <c r="N65" s="143" t="s">
        <v>1551</v>
      </c>
      <c r="O65" s="141">
        <v>45505</v>
      </c>
      <c r="P65" s="141">
        <v>45512</v>
      </c>
      <c r="Q65" s="141">
        <v>45501</v>
      </c>
      <c r="R65" s="141">
        <v>45507</v>
      </c>
      <c r="S65" s="271">
        <v>31</v>
      </c>
      <c r="T65" s="99">
        <v>5</v>
      </c>
      <c r="U65" s="99">
        <v>2</v>
      </c>
      <c r="V65" s="99">
        <v>1</v>
      </c>
      <c r="W65" s="99">
        <v>0</v>
      </c>
      <c r="X65" s="142">
        <v>1</v>
      </c>
      <c r="Y65" s="142">
        <v>0.16666666666666666</v>
      </c>
      <c r="Z65" s="142">
        <v>0</v>
      </c>
      <c r="AC65" s="99">
        <v>0</v>
      </c>
    </row>
    <row r="66" spans="1:29">
      <c r="A66" s="143" t="s">
        <v>92</v>
      </c>
      <c r="B66" s="143" t="s">
        <v>1528</v>
      </c>
      <c r="C66" s="143" t="s">
        <v>76</v>
      </c>
      <c r="D66" s="143" t="s">
        <v>1526</v>
      </c>
      <c r="E66" s="143" t="s">
        <v>1527</v>
      </c>
      <c r="F66" s="143" t="s">
        <v>1528</v>
      </c>
      <c r="M66" s="143" t="s">
        <v>1590</v>
      </c>
      <c r="N66" s="143" t="s">
        <v>1551</v>
      </c>
      <c r="O66" s="141">
        <v>45505</v>
      </c>
      <c r="P66" s="141">
        <v>45512</v>
      </c>
      <c r="Q66" s="141">
        <v>45508</v>
      </c>
      <c r="R66" s="141">
        <v>45514</v>
      </c>
      <c r="S66" s="271">
        <v>32</v>
      </c>
      <c r="T66" s="99">
        <v>6</v>
      </c>
      <c r="U66" s="99">
        <v>4</v>
      </c>
      <c r="V66" s="99">
        <v>0</v>
      </c>
      <c r="W66" s="99">
        <v>0</v>
      </c>
      <c r="X66" s="142">
        <v>1</v>
      </c>
      <c r="Y66" s="142">
        <v>0.16666666666666666</v>
      </c>
      <c r="Z66" s="142">
        <v>0</v>
      </c>
      <c r="AC66" s="99">
        <v>0</v>
      </c>
    </row>
    <row r="67" spans="1:29">
      <c r="A67" s="143" t="s">
        <v>92</v>
      </c>
      <c r="B67" s="143" t="s">
        <v>1529</v>
      </c>
      <c r="C67" s="143" t="s">
        <v>76</v>
      </c>
      <c r="D67" s="143" t="s">
        <v>1526</v>
      </c>
      <c r="E67" s="143" t="s">
        <v>1527</v>
      </c>
      <c r="F67" s="143" t="s">
        <v>1529</v>
      </c>
      <c r="M67" s="143" t="s">
        <v>1591</v>
      </c>
      <c r="N67" s="143" t="s">
        <v>1551</v>
      </c>
      <c r="O67" s="141">
        <v>45492</v>
      </c>
      <c r="P67" s="141">
        <v>45498</v>
      </c>
      <c r="Q67" s="141">
        <v>45487</v>
      </c>
      <c r="R67" s="141">
        <v>45493</v>
      </c>
      <c r="S67" s="271">
        <v>29</v>
      </c>
      <c r="T67" s="99">
        <v>3</v>
      </c>
      <c r="U67" s="99">
        <v>1</v>
      </c>
      <c r="V67" s="99">
        <v>1</v>
      </c>
      <c r="W67" s="99">
        <v>0</v>
      </c>
      <c r="X67" s="142">
        <v>1</v>
      </c>
      <c r="Y67" s="142">
        <v>1</v>
      </c>
      <c r="Z67" s="142">
        <v>0</v>
      </c>
      <c r="AC67" s="99">
        <v>0</v>
      </c>
    </row>
    <row r="68" spans="1:29">
      <c r="A68" s="143" t="s">
        <v>92</v>
      </c>
      <c r="B68" s="143" t="s">
        <v>1529</v>
      </c>
      <c r="C68" s="143" t="s">
        <v>76</v>
      </c>
      <c r="D68" s="143" t="s">
        <v>1526</v>
      </c>
      <c r="E68" s="143" t="s">
        <v>1527</v>
      </c>
      <c r="F68" s="143" t="s">
        <v>1529</v>
      </c>
      <c r="M68" s="143" t="s">
        <v>1591</v>
      </c>
      <c r="N68" s="143" t="s">
        <v>1551</v>
      </c>
      <c r="O68" s="141">
        <v>45492</v>
      </c>
      <c r="P68" s="141">
        <v>45498</v>
      </c>
      <c r="Q68" s="141">
        <v>45494</v>
      </c>
      <c r="R68" s="141">
        <v>45500</v>
      </c>
      <c r="S68" s="271">
        <v>30</v>
      </c>
      <c r="T68" s="99">
        <v>4</v>
      </c>
      <c r="U68" s="99">
        <v>4</v>
      </c>
      <c r="V68" s="99">
        <v>4</v>
      </c>
      <c r="W68" s="99">
        <v>0</v>
      </c>
      <c r="X68" s="142">
        <v>1</v>
      </c>
      <c r="Y68" s="142">
        <v>1</v>
      </c>
      <c r="Z68" s="142">
        <v>0</v>
      </c>
      <c r="AC68" s="99">
        <v>0</v>
      </c>
    </row>
    <row r="69" spans="1:29">
      <c r="A69" s="143" t="s">
        <v>92</v>
      </c>
      <c r="B69" s="143" t="s">
        <v>1530</v>
      </c>
      <c r="C69" s="143" t="s">
        <v>76</v>
      </c>
      <c r="D69" s="143" t="s">
        <v>1526</v>
      </c>
      <c r="E69" s="143" t="s">
        <v>1527</v>
      </c>
      <c r="F69" s="143" t="s">
        <v>1530</v>
      </c>
      <c r="M69" s="143" t="s">
        <v>1592</v>
      </c>
      <c r="N69" s="143" t="s">
        <v>1551</v>
      </c>
      <c r="O69" s="141">
        <v>45505</v>
      </c>
      <c r="P69" s="141">
        <v>45512</v>
      </c>
      <c r="Q69" s="141">
        <v>45501</v>
      </c>
      <c r="R69" s="141">
        <v>45507</v>
      </c>
      <c r="S69" s="271">
        <v>31</v>
      </c>
      <c r="T69" s="99">
        <v>5</v>
      </c>
      <c r="U69" s="99">
        <v>2</v>
      </c>
      <c r="V69" s="99">
        <v>1</v>
      </c>
      <c r="W69" s="99">
        <v>0</v>
      </c>
      <c r="X69" s="142">
        <v>1</v>
      </c>
      <c r="Y69" s="142">
        <v>0.16666666666666666</v>
      </c>
      <c r="Z69" s="142">
        <v>0</v>
      </c>
      <c r="AC69" s="99">
        <v>0</v>
      </c>
    </row>
    <row r="70" spans="1:29">
      <c r="A70" s="143" t="s">
        <v>92</v>
      </c>
      <c r="B70" s="143" t="s">
        <v>1530</v>
      </c>
      <c r="C70" s="143" t="s">
        <v>76</v>
      </c>
      <c r="D70" s="143" t="s">
        <v>1526</v>
      </c>
      <c r="E70" s="143" t="s">
        <v>1527</v>
      </c>
      <c r="F70" s="143" t="s">
        <v>1530</v>
      </c>
      <c r="M70" s="143" t="s">
        <v>1592</v>
      </c>
      <c r="N70" s="143" t="s">
        <v>1551</v>
      </c>
      <c r="O70" s="141">
        <v>45505</v>
      </c>
      <c r="P70" s="141">
        <v>45512</v>
      </c>
      <c r="Q70" s="141">
        <v>45508</v>
      </c>
      <c r="R70" s="141">
        <v>45514</v>
      </c>
      <c r="S70" s="271">
        <v>32</v>
      </c>
      <c r="T70" s="99">
        <v>6</v>
      </c>
      <c r="U70" s="99">
        <v>4</v>
      </c>
      <c r="V70" s="99">
        <v>0</v>
      </c>
      <c r="W70" s="99">
        <v>0</v>
      </c>
      <c r="X70" s="142">
        <v>1</v>
      </c>
      <c r="Y70" s="142">
        <v>0.16666666666666666</v>
      </c>
      <c r="Z70" s="142">
        <v>0</v>
      </c>
      <c r="AC70" s="99">
        <v>0</v>
      </c>
    </row>
    <row r="71" spans="1:29">
      <c r="A71" s="143" t="s">
        <v>92</v>
      </c>
      <c r="B71" s="143" t="s">
        <v>1532</v>
      </c>
      <c r="C71" s="143" t="s">
        <v>76</v>
      </c>
      <c r="D71" s="143" t="s">
        <v>1526</v>
      </c>
      <c r="E71" s="143" t="s">
        <v>1531</v>
      </c>
      <c r="F71" s="143" t="s">
        <v>1532</v>
      </c>
      <c r="M71" s="143" t="s">
        <v>1590</v>
      </c>
      <c r="N71" s="143" t="s">
        <v>1610</v>
      </c>
      <c r="O71" s="141">
        <v>45516</v>
      </c>
      <c r="P71" s="141">
        <v>45520</v>
      </c>
      <c r="Q71" s="141">
        <v>45515</v>
      </c>
      <c r="R71" s="141">
        <v>45521</v>
      </c>
      <c r="S71" s="271">
        <v>33</v>
      </c>
      <c r="T71" s="99">
        <v>7</v>
      </c>
      <c r="U71" s="99">
        <v>5</v>
      </c>
      <c r="V71" s="99">
        <v>0</v>
      </c>
      <c r="W71" s="99">
        <v>0</v>
      </c>
      <c r="X71" s="142">
        <v>1</v>
      </c>
      <c r="Y71" s="142">
        <v>0</v>
      </c>
      <c r="Z71" s="142">
        <v>0</v>
      </c>
      <c r="AC71" s="99">
        <v>0</v>
      </c>
    </row>
    <row r="72" spans="1:29">
      <c r="A72" s="143" t="s">
        <v>92</v>
      </c>
      <c r="B72" s="143" t="s">
        <v>1533</v>
      </c>
      <c r="C72" s="143" t="s">
        <v>76</v>
      </c>
      <c r="D72" s="143" t="s">
        <v>1526</v>
      </c>
      <c r="E72" s="143" t="s">
        <v>1531</v>
      </c>
      <c r="F72" s="143" t="s">
        <v>1533</v>
      </c>
      <c r="M72" s="143" t="s">
        <v>1591</v>
      </c>
      <c r="N72" s="143" t="s">
        <v>1610</v>
      </c>
      <c r="O72" s="141">
        <v>45516</v>
      </c>
      <c r="P72" s="141">
        <v>45520</v>
      </c>
      <c r="Q72" s="141">
        <v>45515</v>
      </c>
      <c r="R72" s="141">
        <v>45521</v>
      </c>
      <c r="S72" s="271">
        <v>33</v>
      </c>
      <c r="T72" s="99">
        <v>7</v>
      </c>
      <c r="U72" s="99">
        <v>5</v>
      </c>
      <c r="V72" s="99">
        <v>0</v>
      </c>
      <c r="W72" s="99">
        <v>0</v>
      </c>
      <c r="X72" s="142">
        <v>1</v>
      </c>
      <c r="Y72" s="142">
        <v>0</v>
      </c>
      <c r="Z72" s="142">
        <v>0</v>
      </c>
      <c r="AC72" s="99">
        <v>0</v>
      </c>
    </row>
    <row r="73" spans="1:29">
      <c r="A73" s="143" t="s">
        <v>92</v>
      </c>
      <c r="B73" s="143" t="s">
        <v>1534</v>
      </c>
      <c r="C73" s="143" t="s">
        <v>76</v>
      </c>
      <c r="D73" s="143" t="s">
        <v>1526</v>
      </c>
      <c r="E73" s="143" t="s">
        <v>1531</v>
      </c>
      <c r="F73" s="143" t="s">
        <v>1534</v>
      </c>
      <c r="M73" s="143" t="s">
        <v>1592</v>
      </c>
      <c r="N73" s="143" t="s">
        <v>1610</v>
      </c>
      <c r="O73" s="141">
        <v>45516</v>
      </c>
      <c r="P73" s="141">
        <v>45520</v>
      </c>
      <c r="Q73" s="141">
        <v>45515</v>
      </c>
      <c r="R73" s="141">
        <v>45521</v>
      </c>
      <c r="S73" s="271">
        <v>33</v>
      </c>
      <c r="T73" s="99">
        <v>7</v>
      </c>
      <c r="U73" s="99">
        <v>5</v>
      </c>
      <c r="V73" s="99">
        <v>0</v>
      </c>
      <c r="W73" s="99">
        <v>0</v>
      </c>
      <c r="X73" s="142">
        <v>1</v>
      </c>
      <c r="Y73" s="142">
        <v>0</v>
      </c>
      <c r="Z73" s="142">
        <v>0</v>
      </c>
      <c r="AC73" s="99">
        <v>0</v>
      </c>
    </row>
    <row r="74" spans="1:29">
      <c r="A74" s="143" t="s">
        <v>92</v>
      </c>
      <c r="B74" s="143" t="s">
        <v>1538</v>
      </c>
      <c r="C74" s="143" t="s">
        <v>76</v>
      </c>
      <c r="D74" s="143" t="s">
        <v>1536</v>
      </c>
      <c r="E74" s="143" t="s">
        <v>1537</v>
      </c>
      <c r="F74" s="143" t="s">
        <v>1538</v>
      </c>
      <c r="M74" s="143" t="s">
        <v>1586</v>
      </c>
      <c r="N74" s="143" t="s">
        <v>1551</v>
      </c>
      <c r="O74" s="141">
        <v>45505</v>
      </c>
      <c r="P74" s="141">
        <v>45512</v>
      </c>
      <c r="Q74" s="141">
        <v>45501</v>
      </c>
      <c r="R74" s="141">
        <v>45507</v>
      </c>
      <c r="S74" s="271">
        <v>31</v>
      </c>
      <c r="T74" s="99">
        <v>5</v>
      </c>
      <c r="U74" s="99">
        <v>2</v>
      </c>
      <c r="V74" s="99">
        <v>1</v>
      </c>
      <c r="W74" s="99">
        <v>0</v>
      </c>
      <c r="X74" s="142">
        <v>1</v>
      </c>
      <c r="Y74" s="142">
        <v>0.16666666666666666</v>
      </c>
      <c r="Z74" s="142">
        <v>0</v>
      </c>
      <c r="AC74" s="99">
        <v>0</v>
      </c>
    </row>
    <row r="75" spans="1:29">
      <c r="A75" s="143" t="s">
        <v>92</v>
      </c>
      <c r="B75" s="143" t="s">
        <v>1538</v>
      </c>
      <c r="C75" s="143" t="s">
        <v>76</v>
      </c>
      <c r="D75" s="143" t="s">
        <v>1536</v>
      </c>
      <c r="E75" s="143" t="s">
        <v>1537</v>
      </c>
      <c r="F75" s="143" t="s">
        <v>1538</v>
      </c>
      <c r="M75" s="143" t="s">
        <v>1586</v>
      </c>
      <c r="N75" s="143" t="s">
        <v>1551</v>
      </c>
      <c r="O75" s="141">
        <v>45505</v>
      </c>
      <c r="P75" s="141">
        <v>45512</v>
      </c>
      <c r="Q75" s="141">
        <v>45508</v>
      </c>
      <c r="R75" s="141">
        <v>45514</v>
      </c>
      <c r="S75" s="271">
        <v>32</v>
      </c>
      <c r="T75" s="99">
        <v>6</v>
      </c>
      <c r="U75" s="99">
        <v>4</v>
      </c>
      <c r="V75" s="99">
        <v>0</v>
      </c>
      <c r="W75" s="99">
        <v>0</v>
      </c>
      <c r="X75" s="142">
        <v>1</v>
      </c>
      <c r="Y75" s="142">
        <v>0.16666666666666666</v>
      </c>
      <c r="Z75" s="142">
        <v>0</v>
      </c>
      <c r="AC75" s="99">
        <v>0</v>
      </c>
    </row>
    <row r="76" spans="1:29">
      <c r="A76" s="143" t="s">
        <v>92</v>
      </c>
      <c r="B76" s="143" t="s">
        <v>1539</v>
      </c>
      <c r="C76" s="143" t="s">
        <v>76</v>
      </c>
      <c r="D76" s="143" t="s">
        <v>1536</v>
      </c>
      <c r="E76" s="143" t="s">
        <v>1537</v>
      </c>
      <c r="F76" s="143" t="s">
        <v>1539</v>
      </c>
      <c r="M76" s="143" t="s">
        <v>1561</v>
      </c>
      <c r="N76" s="143" t="s">
        <v>1551</v>
      </c>
      <c r="O76" s="141">
        <v>45505</v>
      </c>
      <c r="P76" s="141">
        <v>45512</v>
      </c>
      <c r="Q76" s="141">
        <v>45501</v>
      </c>
      <c r="R76" s="141">
        <v>45507</v>
      </c>
      <c r="S76" s="271">
        <v>31</v>
      </c>
      <c r="T76" s="99">
        <v>5</v>
      </c>
      <c r="U76" s="99">
        <v>2</v>
      </c>
      <c r="V76" s="99">
        <v>1</v>
      </c>
      <c r="W76" s="99">
        <v>0</v>
      </c>
      <c r="X76" s="142">
        <v>1</v>
      </c>
      <c r="Y76" s="142">
        <v>0.16666666666666666</v>
      </c>
      <c r="Z76" s="142">
        <v>0</v>
      </c>
      <c r="AC76" s="99">
        <v>0</v>
      </c>
    </row>
    <row r="77" spans="1:29">
      <c r="A77" s="143" t="s">
        <v>92</v>
      </c>
      <c r="B77" s="143" t="s">
        <v>1539</v>
      </c>
      <c r="C77" s="143" t="s">
        <v>76</v>
      </c>
      <c r="D77" s="143" t="s">
        <v>1536</v>
      </c>
      <c r="E77" s="143" t="s">
        <v>1537</v>
      </c>
      <c r="F77" s="143" t="s">
        <v>1539</v>
      </c>
      <c r="M77" s="143" t="s">
        <v>1561</v>
      </c>
      <c r="N77" s="143" t="s">
        <v>1551</v>
      </c>
      <c r="O77" s="141">
        <v>45505</v>
      </c>
      <c r="P77" s="141">
        <v>45512</v>
      </c>
      <c r="Q77" s="141">
        <v>45508</v>
      </c>
      <c r="R77" s="141">
        <v>45514</v>
      </c>
      <c r="S77" s="271">
        <v>32</v>
      </c>
      <c r="T77" s="99">
        <v>6</v>
      </c>
      <c r="U77" s="99">
        <v>4</v>
      </c>
      <c r="V77" s="99">
        <v>0</v>
      </c>
      <c r="W77" s="99">
        <v>0</v>
      </c>
      <c r="X77" s="142">
        <v>1</v>
      </c>
      <c r="Y77" s="142">
        <v>0.16666666666666666</v>
      </c>
      <c r="Z77" s="142">
        <v>0</v>
      </c>
      <c r="AC77" s="99">
        <v>0</v>
      </c>
    </row>
    <row r="78" spans="1:29">
      <c r="A78" s="143" t="s">
        <v>92</v>
      </c>
      <c r="B78" s="143" t="s">
        <v>1540</v>
      </c>
      <c r="C78" s="143" t="s">
        <v>76</v>
      </c>
      <c r="D78" s="143" t="s">
        <v>1536</v>
      </c>
      <c r="E78" s="143" t="s">
        <v>1537</v>
      </c>
      <c r="F78" s="143" t="s">
        <v>1540</v>
      </c>
      <c r="M78" s="143" t="s">
        <v>1562</v>
      </c>
      <c r="N78" s="143" t="s">
        <v>1551</v>
      </c>
      <c r="O78" s="141">
        <v>45505</v>
      </c>
      <c r="P78" s="141">
        <v>45512</v>
      </c>
      <c r="Q78" s="141">
        <v>45501</v>
      </c>
      <c r="R78" s="141">
        <v>45507</v>
      </c>
      <c r="S78" s="271">
        <v>31</v>
      </c>
      <c r="T78" s="99">
        <v>5</v>
      </c>
      <c r="U78" s="99">
        <v>2</v>
      </c>
      <c r="V78" s="99">
        <v>1</v>
      </c>
      <c r="W78" s="99">
        <v>0</v>
      </c>
      <c r="X78" s="142">
        <v>1</v>
      </c>
      <c r="Y78" s="142">
        <v>0.16666666666666666</v>
      </c>
      <c r="Z78" s="142">
        <v>0</v>
      </c>
      <c r="AC78" s="99">
        <v>0</v>
      </c>
    </row>
    <row r="79" spans="1:29">
      <c r="A79" s="143" t="s">
        <v>92</v>
      </c>
      <c r="B79" s="143" t="s">
        <v>1540</v>
      </c>
      <c r="C79" s="143" t="s">
        <v>76</v>
      </c>
      <c r="D79" s="143" t="s">
        <v>1536</v>
      </c>
      <c r="E79" s="143" t="s">
        <v>1537</v>
      </c>
      <c r="F79" s="143" t="s">
        <v>1540</v>
      </c>
      <c r="M79" s="143" t="s">
        <v>1562</v>
      </c>
      <c r="N79" s="143" t="s">
        <v>1551</v>
      </c>
      <c r="O79" s="141">
        <v>45505</v>
      </c>
      <c r="P79" s="141">
        <v>45512</v>
      </c>
      <c r="Q79" s="141">
        <v>45508</v>
      </c>
      <c r="R79" s="141">
        <v>45514</v>
      </c>
      <c r="S79" s="271">
        <v>32</v>
      </c>
      <c r="T79" s="99">
        <v>6</v>
      </c>
      <c r="U79" s="99">
        <v>4</v>
      </c>
      <c r="V79" s="99">
        <v>0</v>
      </c>
      <c r="W79" s="99">
        <v>0</v>
      </c>
      <c r="X79" s="142">
        <v>1</v>
      </c>
      <c r="Y79" s="142">
        <v>0.16666666666666666</v>
      </c>
      <c r="Z79" s="142">
        <v>0</v>
      </c>
      <c r="AC79" s="99">
        <v>0</v>
      </c>
    </row>
    <row r="80" spans="1:29">
      <c r="A80" s="143" t="s">
        <v>92</v>
      </c>
      <c r="B80" s="143" t="s">
        <v>1541</v>
      </c>
      <c r="C80" s="143" t="s">
        <v>76</v>
      </c>
      <c r="D80" s="143" t="s">
        <v>1536</v>
      </c>
      <c r="E80" s="143" t="s">
        <v>1537</v>
      </c>
      <c r="F80" s="143" t="s">
        <v>1541</v>
      </c>
      <c r="M80" s="143" t="s">
        <v>1563</v>
      </c>
      <c r="N80" s="143" t="s">
        <v>1551</v>
      </c>
      <c r="O80" s="141">
        <v>45505</v>
      </c>
      <c r="P80" s="141">
        <v>45512</v>
      </c>
      <c r="Q80" s="141">
        <v>45501</v>
      </c>
      <c r="R80" s="141">
        <v>45507</v>
      </c>
      <c r="S80" s="271">
        <v>31</v>
      </c>
      <c r="T80" s="99">
        <v>5</v>
      </c>
      <c r="U80" s="99">
        <v>2</v>
      </c>
      <c r="V80" s="99">
        <v>1</v>
      </c>
      <c r="W80" s="99">
        <v>0</v>
      </c>
      <c r="X80" s="142">
        <v>1</v>
      </c>
      <c r="Y80" s="142">
        <v>0.16666666666666666</v>
      </c>
      <c r="Z80" s="142">
        <v>0</v>
      </c>
      <c r="AC80" s="99">
        <v>0</v>
      </c>
    </row>
    <row r="81" spans="1:29">
      <c r="A81" s="143" t="s">
        <v>92</v>
      </c>
      <c r="B81" s="143" t="s">
        <v>1541</v>
      </c>
      <c r="C81" s="143" t="s">
        <v>76</v>
      </c>
      <c r="D81" s="143" t="s">
        <v>1536</v>
      </c>
      <c r="E81" s="143" t="s">
        <v>1537</v>
      </c>
      <c r="F81" s="143" t="s">
        <v>1541</v>
      </c>
      <c r="M81" s="143" t="s">
        <v>1563</v>
      </c>
      <c r="N81" s="143" t="s">
        <v>1551</v>
      </c>
      <c r="O81" s="141">
        <v>45505</v>
      </c>
      <c r="P81" s="141">
        <v>45512</v>
      </c>
      <c r="Q81" s="141">
        <v>45508</v>
      </c>
      <c r="R81" s="141">
        <v>45514</v>
      </c>
      <c r="S81" s="271">
        <v>32</v>
      </c>
      <c r="T81" s="99">
        <v>6</v>
      </c>
      <c r="U81" s="99">
        <v>4</v>
      </c>
      <c r="V81" s="99">
        <v>0</v>
      </c>
      <c r="W81" s="99">
        <v>0</v>
      </c>
      <c r="X81" s="142">
        <v>1</v>
      </c>
      <c r="Y81" s="142">
        <v>0.16666666666666666</v>
      </c>
      <c r="Z81" s="142">
        <v>0</v>
      </c>
      <c r="AC81" s="99">
        <v>0</v>
      </c>
    </row>
    <row r="82" spans="1:29">
      <c r="A82" s="143" t="s">
        <v>92</v>
      </c>
      <c r="B82" s="143" t="s">
        <v>1543</v>
      </c>
      <c r="C82" s="143" t="s">
        <v>76</v>
      </c>
      <c r="D82" s="143" t="s">
        <v>1536</v>
      </c>
      <c r="E82" s="143" t="s">
        <v>1542</v>
      </c>
      <c r="F82" s="143" t="s">
        <v>1543</v>
      </c>
      <c r="M82" s="143" t="s">
        <v>1586</v>
      </c>
      <c r="N82" s="143" t="s">
        <v>1610</v>
      </c>
      <c r="O82" s="141">
        <v>45530</v>
      </c>
      <c r="P82" s="141">
        <v>45534</v>
      </c>
      <c r="Q82" s="141">
        <v>45529</v>
      </c>
      <c r="R82" s="141">
        <v>45535</v>
      </c>
      <c r="S82" s="271">
        <v>35</v>
      </c>
      <c r="T82" s="99">
        <v>9</v>
      </c>
      <c r="U82" s="99">
        <v>5</v>
      </c>
      <c r="V82" s="99">
        <v>0</v>
      </c>
      <c r="W82" s="99">
        <v>0</v>
      </c>
      <c r="X82" s="142">
        <v>1</v>
      </c>
      <c r="Y82" s="142">
        <v>0</v>
      </c>
      <c r="Z82" s="142">
        <v>0</v>
      </c>
      <c r="AC82" s="99">
        <v>0</v>
      </c>
    </row>
    <row r="83" spans="1:29">
      <c r="A83" s="143" t="s">
        <v>92</v>
      </c>
      <c r="B83" s="143" t="s">
        <v>1544</v>
      </c>
      <c r="C83" s="143" t="s">
        <v>76</v>
      </c>
      <c r="D83" s="143" t="s">
        <v>1536</v>
      </c>
      <c r="E83" s="143" t="s">
        <v>1542</v>
      </c>
      <c r="F83" s="143" t="s">
        <v>1544</v>
      </c>
      <c r="M83" s="143" t="s">
        <v>1561</v>
      </c>
      <c r="N83" s="143" t="s">
        <v>1610</v>
      </c>
      <c r="O83" s="141">
        <v>45523</v>
      </c>
      <c r="P83" s="141">
        <v>45527</v>
      </c>
      <c r="Q83" s="141">
        <v>45522</v>
      </c>
      <c r="R83" s="141">
        <v>45528</v>
      </c>
      <c r="S83" s="271">
        <v>34</v>
      </c>
      <c r="T83" s="99">
        <v>8</v>
      </c>
      <c r="U83" s="99">
        <v>5</v>
      </c>
      <c r="V83" s="99">
        <v>0</v>
      </c>
      <c r="W83" s="99">
        <v>0</v>
      </c>
      <c r="X83" s="142">
        <v>1</v>
      </c>
      <c r="Y83" s="142">
        <v>0</v>
      </c>
      <c r="Z83" s="142">
        <v>0</v>
      </c>
      <c r="AC83" s="99">
        <v>0</v>
      </c>
    </row>
    <row r="84" spans="1:29">
      <c r="A84" s="143" t="s">
        <v>92</v>
      </c>
      <c r="B84" s="143" t="s">
        <v>1545</v>
      </c>
      <c r="C84" s="143" t="s">
        <v>76</v>
      </c>
      <c r="D84" s="143" t="s">
        <v>1536</v>
      </c>
      <c r="E84" s="143" t="s">
        <v>1542</v>
      </c>
      <c r="F84" s="143" t="s">
        <v>1545</v>
      </c>
      <c r="M84" s="143" t="s">
        <v>1562</v>
      </c>
      <c r="N84" s="143" t="s">
        <v>1610</v>
      </c>
      <c r="O84" s="141">
        <v>45523</v>
      </c>
      <c r="P84" s="141">
        <v>45527</v>
      </c>
      <c r="Q84" s="141">
        <v>45522</v>
      </c>
      <c r="R84" s="141">
        <v>45528</v>
      </c>
      <c r="S84" s="271">
        <v>34</v>
      </c>
      <c r="T84" s="99">
        <v>8</v>
      </c>
      <c r="U84" s="99">
        <v>5</v>
      </c>
      <c r="V84" s="99">
        <v>0</v>
      </c>
      <c r="W84" s="99">
        <v>0</v>
      </c>
      <c r="X84" s="142">
        <v>1</v>
      </c>
      <c r="Y84" s="142">
        <v>0</v>
      </c>
      <c r="Z84" s="142">
        <v>0</v>
      </c>
      <c r="AC84" s="99">
        <v>0</v>
      </c>
    </row>
    <row r="85" spans="1:29">
      <c r="A85" s="143" t="s">
        <v>92</v>
      </c>
      <c r="B85" s="143" t="s">
        <v>1599</v>
      </c>
      <c r="C85" s="143" t="s">
        <v>76</v>
      </c>
      <c r="D85" s="143" t="s">
        <v>1536</v>
      </c>
      <c r="E85" s="143" t="s">
        <v>1542</v>
      </c>
      <c r="F85" s="143" t="s">
        <v>1599</v>
      </c>
      <c r="M85" s="143" t="s">
        <v>1563</v>
      </c>
      <c r="N85" s="143" t="s">
        <v>1610</v>
      </c>
      <c r="O85" s="141">
        <v>45523</v>
      </c>
      <c r="P85" s="141">
        <v>45527</v>
      </c>
      <c r="Q85" s="141">
        <v>45522</v>
      </c>
      <c r="R85" s="141">
        <v>45528</v>
      </c>
      <c r="S85" s="271">
        <v>34</v>
      </c>
      <c r="T85" s="99">
        <v>8</v>
      </c>
      <c r="U85" s="99">
        <v>5</v>
      </c>
      <c r="V85" s="99">
        <v>0</v>
      </c>
      <c r="W85" s="99">
        <v>0</v>
      </c>
      <c r="X85" s="142">
        <v>1</v>
      </c>
      <c r="Y85" s="142">
        <v>0</v>
      </c>
      <c r="Z85" s="142">
        <v>0</v>
      </c>
      <c r="AC85" s="99">
        <v>0</v>
      </c>
    </row>
    <row r="86" spans="1:29">
      <c r="A86" s="143" t="s">
        <v>92</v>
      </c>
      <c r="B86" s="143" t="s">
        <v>1600</v>
      </c>
      <c r="C86" s="143" t="s">
        <v>76</v>
      </c>
      <c r="D86" s="143" t="s">
        <v>1536</v>
      </c>
      <c r="E86" s="143" t="s">
        <v>1542</v>
      </c>
      <c r="F86" s="143" t="s">
        <v>1600</v>
      </c>
      <c r="M86" s="143" t="s">
        <v>1560</v>
      </c>
      <c r="N86" s="143" t="s">
        <v>1610</v>
      </c>
      <c r="O86" s="141">
        <v>45523</v>
      </c>
      <c r="P86" s="141">
        <v>45527</v>
      </c>
      <c r="Q86" s="141">
        <v>45522</v>
      </c>
      <c r="R86" s="141">
        <v>45528</v>
      </c>
      <c r="S86" s="271">
        <v>34</v>
      </c>
      <c r="T86" s="99">
        <v>8</v>
      </c>
      <c r="U86" s="99">
        <v>5</v>
      </c>
      <c r="V86" s="99">
        <v>0</v>
      </c>
      <c r="W86" s="99">
        <v>0</v>
      </c>
      <c r="X86" s="142">
        <v>1</v>
      </c>
      <c r="Y86" s="142">
        <v>0</v>
      </c>
      <c r="Z86" s="142">
        <v>0</v>
      </c>
      <c r="AC86" s="99">
        <v>0</v>
      </c>
    </row>
    <row r="87" spans="1:29">
      <c r="A87" s="143" t="s">
        <v>92</v>
      </c>
      <c r="B87" s="143" t="s">
        <v>1602</v>
      </c>
      <c r="C87" s="143" t="s">
        <v>76</v>
      </c>
      <c r="D87" s="143" t="s">
        <v>1567</v>
      </c>
      <c r="E87" s="143" t="s">
        <v>1601</v>
      </c>
      <c r="F87" s="143" t="s">
        <v>1602</v>
      </c>
      <c r="M87" s="143" t="s">
        <v>1564</v>
      </c>
      <c r="N87" s="143" t="s">
        <v>1551</v>
      </c>
      <c r="O87" s="141">
        <v>45523</v>
      </c>
      <c r="P87" s="141">
        <v>45527</v>
      </c>
      <c r="Q87" s="141">
        <v>45522</v>
      </c>
      <c r="R87" s="141">
        <v>45528</v>
      </c>
      <c r="S87" s="271">
        <v>34</v>
      </c>
      <c r="T87" s="99">
        <v>8</v>
      </c>
      <c r="U87" s="99">
        <v>5</v>
      </c>
      <c r="V87" s="99">
        <v>0</v>
      </c>
      <c r="W87" s="99">
        <v>0</v>
      </c>
      <c r="X87" s="142">
        <v>1</v>
      </c>
      <c r="Y87" s="142">
        <v>0</v>
      </c>
      <c r="Z87" s="142">
        <v>0</v>
      </c>
      <c r="AC87" s="99">
        <v>0</v>
      </c>
    </row>
    <row r="88" spans="1:29">
      <c r="A88" s="143" t="s">
        <v>92</v>
      </c>
      <c r="B88" s="143" t="s">
        <v>1603</v>
      </c>
      <c r="C88" s="143" t="s">
        <v>76</v>
      </c>
      <c r="D88" s="143" t="s">
        <v>1567</v>
      </c>
      <c r="E88" s="143" t="s">
        <v>1601</v>
      </c>
      <c r="F88" s="143" t="s">
        <v>1603</v>
      </c>
      <c r="M88" s="143" t="s">
        <v>1569</v>
      </c>
      <c r="N88" s="143" t="s">
        <v>1351</v>
      </c>
      <c r="O88" s="141">
        <v>45513</v>
      </c>
      <c r="P88" s="141">
        <v>45534</v>
      </c>
      <c r="Q88" s="141">
        <v>45508</v>
      </c>
      <c r="R88" s="141">
        <v>45514</v>
      </c>
      <c r="S88" s="271">
        <v>32</v>
      </c>
      <c r="T88" s="99">
        <v>6</v>
      </c>
      <c r="U88" s="99">
        <v>1</v>
      </c>
      <c r="V88" s="99">
        <v>0</v>
      </c>
      <c r="W88" s="99">
        <v>0</v>
      </c>
      <c r="X88" s="142">
        <v>1</v>
      </c>
      <c r="Y88" s="142">
        <v>0</v>
      </c>
      <c r="Z88" s="142">
        <v>0</v>
      </c>
      <c r="AC88" s="99">
        <v>0</v>
      </c>
    </row>
    <row r="89" spans="1:29">
      <c r="A89" s="143" t="s">
        <v>92</v>
      </c>
      <c r="B89" s="143" t="s">
        <v>1603</v>
      </c>
      <c r="C89" s="143" t="s">
        <v>76</v>
      </c>
      <c r="D89" s="143" t="s">
        <v>1567</v>
      </c>
      <c r="E89" s="143" t="s">
        <v>1601</v>
      </c>
      <c r="F89" s="143" t="s">
        <v>1603</v>
      </c>
      <c r="M89" s="143" t="s">
        <v>1569</v>
      </c>
      <c r="N89" s="143" t="s">
        <v>1614</v>
      </c>
      <c r="O89" s="141">
        <v>45513</v>
      </c>
      <c r="P89" s="141">
        <v>45534</v>
      </c>
      <c r="Q89" s="141">
        <v>45508</v>
      </c>
      <c r="R89" s="141">
        <v>45514</v>
      </c>
      <c r="S89" s="271">
        <v>32</v>
      </c>
      <c r="T89" s="99">
        <v>6</v>
      </c>
      <c r="U89" s="99">
        <v>1</v>
      </c>
      <c r="V89" s="99">
        <v>0</v>
      </c>
      <c r="W89" s="99">
        <v>0</v>
      </c>
      <c r="X89" s="142">
        <v>1</v>
      </c>
      <c r="Y89" s="142">
        <v>0</v>
      </c>
      <c r="Z89" s="142">
        <v>0</v>
      </c>
      <c r="AC89" s="99">
        <v>0</v>
      </c>
    </row>
    <row r="90" spans="1:29">
      <c r="A90" s="143" t="s">
        <v>92</v>
      </c>
      <c r="B90" s="143" t="s">
        <v>1603</v>
      </c>
      <c r="C90" s="143" t="s">
        <v>76</v>
      </c>
      <c r="D90" s="143" t="s">
        <v>1567</v>
      </c>
      <c r="E90" s="143" t="s">
        <v>1601</v>
      </c>
      <c r="F90" s="143" t="s">
        <v>1603</v>
      </c>
      <c r="M90" s="143" t="s">
        <v>1569</v>
      </c>
      <c r="N90" s="143" t="s">
        <v>1351</v>
      </c>
      <c r="O90" s="141">
        <v>45513</v>
      </c>
      <c r="P90" s="141">
        <v>45534</v>
      </c>
      <c r="Q90" s="141">
        <v>45515</v>
      </c>
      <c r="R90" s="141">
        <v>45521</v>
      </c>
      <c r="S90" s="271">
        <v>33</v>
      </c>
      <c r="T90" s="99">
        <v>7</v>
      </c>
      <c r="U90" s="99">
        <v>5</v>
      </c>
      <c r="V90" s="99">
        <v>0</v>
      </c>
      <c r="W90" s="99">
        <v>0</v>
      </c>
      <c r="X90" s="142">
        <v>1</v>
      </c>
      <c r="Y90" s="142">
        <v>0</v>
      </c>
      <c r="Z90" s="142">
        <v>0</v>
      </c>
      <c r="AC90" s="99">
        <v>0</v>
      </c>
    </row>
    <row r="91" spans="1:29">
      <c r="A91" s="143" t="s">
        <v>92</v>
      </c>
      <c r="B91" s="143" t="s">
        <v>1603</v>
      </c>
      <c r="C91" s="143" t="s">
        <v>76</v>
      </c>
      <c r="D91" s="143" t="s">
        <v>1567</v>
      </c>
      <c r="E91" s="143" t="s">
        <v>1601</v>
      </c>
      <c r="F91" s="143" t="s">
        <v>1603</v>
      </c>
      <c r="M91" s="143" t="s">
        <v>1569</v>
      </c>
      <c r="N91" s="143" t="s">
        <v>1614</v>
      </c>
      <c r="O91" s="141">
        <v>45513</v>
      </c>
      <c r="P91" s="141">
        <v>45534</v>
      </c>
      <c r="Q91" s="141">
        <v>45515</v>
      </c>
      <c r="R91" s="141">
        <v>45521</v>
      </c>
      <c r="S91" s="271">
        <v>33</v>
      </c>
      <c r="T91" s="99">
        <v>7</v>
      </c>
      <c r="U91" s="99">
        <v>5</v>
      </c>
      <c r="V91" s="99">
        <v>0</v>
      </c>
      <c r="W91" s="99">
        <v>0</v>
      </c>
      <c r="X91" s="142">
        <v>1</v>
      </c>
      <c r="Y91" s="142">
        <v>0</v>
      </c>
      <c r="Z91" s="142">
        <v>0</v>
      </c>
      <c r="AC91" s="99">
        <v>0</v>
      </c>
    </row>
    <row r="92" spans="1:29">
      <c r="A92" s="143" t="s">
        <v>92</v>
      </c>
      <c r="B92" s="143" t="s">
        <v>1603</v>
      </c>
      <c r="C92" s="143" t="s">
        <v>76</v>
      </c>
      <c r="D92" s="143" t="s">
        <v>1567</v>
      </c>
      <c r="E92" s="143" t="s">
        <v>1601</v>
      </c>
      <c r="F92" s="143" t="s">
        <v>1603</v>
      </c>
      <c r="M92" s="143" t="s">
        <v>1569</v>
      </c>
      <c r="N92" s="143" t="s">
        <v>1351</v>
      </c>
      <c r="O92" s="141">
        <v>45513</v>
      </c>
      <c r="P92" s="141">
        <v>45534</v>
      </c>
      <c r="Q92" s="141">
        <v>45522</v>
      </c>
      <c r="R92" s="141">
        <v>45528</v>
      </c>
      <c r="S92" s="271">
        <v>34</v>
      </c>
      <c r="T92" s="99">
        <v>8</v>
      </c>
      <c r="U92" s="99">
        <v>5</v>
      </c>
      <c r="V92" s="99">
        <v>0</v>
      </c>
      <c r="W92" s="99">
        <v>0</v>
      </c>
      <c r="X92" s="142">
        <v>1</v>
      </c>
      <c r="Y92" s="142">
        <v>0</v>
      </c>
      <c r="Z92" s="142">
        <v>0</v>
      </c>
      <c r="AC92" s="99">
        <v>0</v>
      </c>
    </row>
    <row r="93" spans="1:29">
      <c r="A93" s="143" t="s">
        <v>92</v>
      </c>
      <c r="B93" s="143" t="s">
        <v>1603</v>
      </c>
      <c r="C93" s="143" t="s">
        <v>76</v>
      </c>
      <c r="D93" s="143" t="s">
        <v>1567</v>
      </c>
      <c r="E93" s="143" t="s">
        <v>1601</v>
      </c>
      <c r="F93" s="143" t="s">
        <v>1603</v>
      </c>
      <c r="M93" s="143" t="s">
        <v>1569</v>
      </c>
      <c r="N93" s="143" t="s">
        <v>1614</v>
      </c>
      <c r="O93" s="141">
        <v>45513</v>
      </c>
      <c r="P93" s="141">
        <v>45534</v>
      </c>
      <c r="Q93" s="141">
        <v>45522</v>
      </c>
      <c r="R93" s="141">
        <v>45528</v>
      </c>
      <c r="S93" s="271">
        <v>34</v>
      </c>
      <c r="T93" s="99">
        <v>8</v>
      </c>
      <c r="U93" s="99">
        <v>5</v>
      </c>
      <c r="V93" s="99">
        <v>0</v>
      </c>
      <c r="W93" s="99">
        <v>0</v>
      </c>
      <c r="X93" s="142">
        <v>1</v>
      </c>
      <c r="Y93" s="142">
        <v>0</v>
      </c>
      <c r="Z93" s="142">
        <v>0</v>
      </c>
      <c r="AC93" s="99">
        <v>0</v>
      </c>
    </row>
    <row r="94" spans="1:29">
      <c r="A94" s="143" t="s">
        <v>92</v>
      </c>
      <c r="B94" s="143" t="s">
        <v>1603</v>
      </c>
      <c r="C94" s="143" t="s">
        <v>76</v>
      </c>
      <c r="D94" s="143" t="s">
        <v>1567</v>
      </c>
      <c r="E94" s="143" t="s">
        <v>1601</v>
      </c>
      <c r="F94" s="143" t="s">
        <v>1603</v>
      </c>
      <c r="M94" s="143" t="s">
        <v>1569</v>
      </c>
      <c r="N94" s="143" t="s">
        <v>1351</v>
      </c>
      <c r="O94" s="141">
        <v>45513</v>
      </c>
      <c r="P94" s="141">
        <v>45534</v>
      </c>
      <c r="Q94" s="141">
        <v>45529</v>
      </c>
      <c r="R94" s="141">
        <v>45535</v>
      </c>
      <c r="S94" s="271">
        <v>35</v>
      </c>
      <c r="T94" s="99">
        <v>9</v>
      </c>
      <c r="U94" s="99">
        <v>5</v>
      </c>
      <c r="V94" s="99">
        <v>0</v>
      </c>
      <c r="W94" s="99">
        <v>0</v>
      </c>
      <c r="X94" s="142">
        <v>1</v>
      </c>
      <c r="Y94" s="142">
        <v>0</v>
      </c>
      <c r="Z94" s="142">
        <v>0</v>
      </c>
      <c r="AC94" s="99">
        <v>0</v>
      </c>
    </row>
    <row r="95" spans="1:29">
      <c r="A95" s="143" t="s">
        <v>92</v>
      </c>
      <c r="B95" s="143" t="s">
        <v>1603</v>
      </c>
      <c r="C95" s="143" t="s">
        <v>76</v>
      </c>
      <c r="D95" s="143" t="s">
        <v>1567</v>
      </c>
      <c r="E95" s="143" t="s">
        <v>1601</v>
      </c>
      <c r="F95" s="143" t="s">
        <v>1603</v>
      </c>
      <c r="M95" s="143" t="s">
        <v>1569</v>
      </c>
      <c r="N95" s="143" t="s">
        <v>1614</v>
      </c>
      <c r="O95" s="141">
        <v>45513</v>
      </c>
      <c r="P95" s="141">
        <v>45534</v>
      </c>
      <c r="Q95" s="141">
        <v>45529</v>
      </c>
      <c r="R95" s="141">
        <v>45535</v>
      </c>
      <c r="S95" s="271">
        <v>35</v>
      </c>
      <c r="T95" s="99">
        <v>9</v>
      </c>
      <c r="U95" s="99">
        <v>5</v>
      </c>
      <c r="V95" s="99">
        <v>0</v>
      </c>
      <c r="W95" s="99">
        <v>0</v>
      </c>
      <c r="X95" s="142">
        <v>1</v>
      </c>
      <c r="Y95" s="142">
        <v>0</v>
      </c>
      <c r="Z95" s="142">
        <v>0</v>
      </c>
      <c r="AC95" s="99">
        <v>0</v>
      </c>
    </row>
    <row r="96" spans="1:29">
      <c r="A96" s="143" t="s">
        <v>92</v>
      </c>
      <c r="B96" s="143" t="s">
        <v>1605</v>
      </c>
      <c r="C96" s="143" t="s">
        <v>76</v>
      </c>
      <c r="D96" s="143" t="s">
        <v>1567</v>
      </c>
      <c r="E96" s="143" t="s">
        <v>1604</v>
      </c>
      <c r="F96" s="143" t="s">
        <v>1605</v>
      </c>
      <c r="M96" s="143" t="s">
        <v>1564</v>
      </c>
      <c r="N96" s="143" t="s">
        <v>1610</v>
      </c>
      <c r="O96" s="141">
        <v>45530</v>
      </c>
      <c r="P96" s="141">
        <v>45534</v>
      </c>
      <c r="Q96" s="141">
        <v>45529</v>
      </c>
      <c r="R96" s="141">
        <v>45535</v>
      </c>
      <c r="S96" s="271">
        <v>35</v>
      </c>
      <c r="T96" s="99">
        <v>9</v>
      </c>
      <c r="U96" s="99">
        <v>5</v>
      </c>
      <c r="V96" s="99">
        <v>0</v>
      </c>
      <c r="W96" s="99">
        <v>0</v>
      </c>
      <c r="X96" s="142">
        <v>1</v>
      </c>
      <c r="Y96" s="142">
        <v>0</v>
      </c>
      <c r="Z96" s="142">
        <v>0</v>
      </c>
      <c r="AC96" s="99">
        <v>0</v>
      </c>
    </row>
    <row r="97" spans="1:29">
      <c r="A97" s="143" t="s">
        <v>92</v>
      </c>
      <c r="B97" s="143" t="s">
        <v>1606</v>
      </c>
      <c r="C97" s="143" t="s">
        <v>76</v>
      </c>
      <c r="D97" s="143" t="s">
        <v>1567</v>
      </c>
      <c r="E97" s="143" t="s">
        <v>1604</v>
      </c>
      <c r="F97" s="143" t="s">
        <v>1606</v>
      </c>
      <c r="M97" s="143" t="s">
        <v>1569</v>
      </c>
      <c r="N97" s="143" t="s">
        <v>1610</v>
      </c>
      <c r="O97" s="141">
        <v>45530</v>
      </c>
      <c r="P97" s="141">
        <v>45534</v>
      </c>
      <c r="Q97" s="141">
        <v>45529</v>
      </c>
      <c r="R97" s="141">
        <v>45535</v>
      </c>
      <c r="S97" s="271">
        <v>35</v>
      </c>
      <c r="T97" s="99">
        <v>9</v>
      </c>
      <c r="U97" s="99">
        <v>5</v>
      </c>
      <c r="V97" s="99">
        <v>0</v>
      </c>
      <c r="W97" s="99">
        <v>0</v>
      </c>
      <c r="X97" s="142">
        <v>1</v>
      </c>
      <c r="Y97" s="142">
        <v>0</v>
      </c>
      <c r="Z97" s="142">
        <v>0</v>
      </c>
      <c r="AC97" s="99">
        <v>0</v>
      </c>
    </row>
    <row r="98" spans="1:29">
      <c r="A98" s="143" t="s">
        <v>92</v>
      </c>
      <c r="B98" s="143" t="s">
        <v>1611</v>
      </c>
      <c r="C98" s="143" t="s">
        <v>76</v>
      </c>
      <c r="D98" s="143" t="s">
        <v>1572</v>
      </c>
      <c r="E98" s="143" t="s">
        <v>1607</v>
      </c>
      <c r="F98" s="143" t="s">
        <v>1611</v>
      </c>
      <c r="M98" s="143" t="s">
        <v>1577</v>
      </c>
      <c r="N98" s="143" t="s">
        <v>1351</v>
      </c>
      <c r="O98" s="141">
        <v>45495</v>
      </c>
      <c r="P98" s="141">
        <v>45534</v>
      </c>
      <c r="Q98" s="141">
        <v>45494</v>
      </c>
      <c r="R98" s="141">
        <v>45500</v>
      </c>
      <c r="S98" s="271">
        <v>30</v>
      </c>
      <c r="T98" s="99">
        <v>4</v>
      </c>
      <c r="U98" s="99">
        <v>5</v>
      </c>
      <c r="V98" s="99">
        <v>5</v>
      </c>
      <c r="W98" s="99">
        <v>0</v>
      </c>
      <c r="X98" s="142">
        <v>1</v>
      </c>
      <c r="Y98" s="142">
        <v>0.3</v>
      </c>
      <c r="Z98" s="142">
        <v>0.1</v>
      </c>
      <c r="AC98" s="99">
        <v>3</v>
      </c>
    </row>
    <row r="99" spans="1:29">
      <c r="A99" s="143" t="s">
        <v>92</v>
      </c>
      <c r="B99" s="143" t="s">
        <v>1611</v>
      </c>
      <c r="C99" s="143" t="s">
        <v>76</v>
      </c>
      <c r="D99" s="143" t="s">
        <v>1572</v>
      </c>
      <c r="E99" s="143" t="s">
        <v>1607</v>
      </c>
      <c r="F99" s="143" t="s">
        <v>1611</v>
      </c>
      <c r="M99" s="143" t="s">
        <v>1577</v>
      </c>
      <c r="N99" s="143" t="s">
        <v>1614</v>
      </c>
      <c r="O99" s="141">
        <v>45495</v>
      </c>
      <c r="P99" s="141">
        <v>45534</v>
      </c>
      <c r="Q99" s="141">
        <v>45494</v>
      </c>
      <c r="R99" s="141">
        <v>45500</v>
      </c>
      <c r="S99" s="271">
        <v>30</v>
      </c>
      <c r="T99" s="99">
        <v>4</v>
      </c>
      <c r="U99" s="99">
        <v>5</v>
      </c>
      <c r="V99" s="99">
        <v>5</v>
      </c>
      <c r="W99" s="99">
        <v>0</v>
      </c>
      <c r="X99" s="142">
        <v>1</v>
      </c>
      <c r="Y99" s="142">
        <v>0.3</v>
      </c>
      <c r="Z99" s="142">
        <v>0.1</v>
      </c>
      <c r="AC99" s="99">
        <v>3</v>
      </c>
    </row>
    <row r="100" spans="1:29">
      <c r="A100" s="143" t="s">
        <v>92</v>
      </c>
      <c r="B100" s="143" t="s">
        <v>1611</v>
      </c>
      <c r="C100" s="143" t="s">
        <v>76</v>
      </c>
      <c r="D100" s="143" t="s">
        <v>1572</v>
      </c>
      <c r="E100" s="143" t="s">
        <v>1607</v>
      </c>
      <c r="F100" s="143" t="s">
        <v>1611</v>
      </c>
      <c r="M100" s="143" t="s">
        <v>1577</v>
      </c>
      <c r="N100" s="143" t="s">
        <v>1351</v>
      </c>
      <c r="O100" s="141">
        <v>45495</v>
      </c>
      <c r="P100" s="141">
        <v>45534</v>
      </c>
      <c r="Q100" s="141">
        <v>45501</v>
      </c>
      <c r="R100" s="141">
        <v>45507</v>
      </c>
      <c r="S100" s="271">
        <v>31</v>
      </c>
      <c r="T100" s="99">
        <v>5</v>
      </c>
      <c r="U100" s="99">
        <v>5</v>
      </c>
      <c r="V100" s="99">
        <v>4</v>
      </c>
      <c r="W100" s="99">
        <v>0</v>
      </c>
      <c r="X100" s="142">
        <v>1</v>
      </c>
      <c r="Y100" s="142">
        <v>0.3</v>
      </c>
      <c r="Z100" s="142">
        <v>0.1</v>
      </c>
      <c r="AC100" s="99">
        <v>0</v>
      </c>
    </row>
    <row r="101" spans="1:29">
      <c r="A101" s="143" t="s">
        <v>92</v>
      </c>
      <c r="B101" s="143" t="s">
        <v>1611</v>
      </c>
      <c r="C101" s="143" t="s">
        <v>76</v>
      </c>
      <c r="D101" s="143" t="s">
        <v>1572</v>
      </c>
      <c r="E101" s="143" t="s">
        <v>1607</v>
      </c>
      <c r="F101" s="143" t="s">
        <v>1611</v>
      </c>
      <c r="M101" s="143" t="s">
        <v>1577</v>
      </c>
      <c r="N101" s="143" t="s">
        <v>1614</v>
      </c>
      <c r="O101" s="141">
        <v>45495</v>
      </c>
      <c r="P101" s="141">
        <v>45534</v>
      </c>
      <c r="Q101" s="141">
        <v>45501</v>
      </c>
      <c r="R101" s="141">
        <v>45507</v>
      </c>
      <c r="S101" s="271">
        <v>31</v>
      </c>
      <c r="T101" s="99">
        <v>5</v>
      </c>
      <c r="U101" s="99">
        <v>5</v>
      </c>
      <c r="V101" s="99">
        <v>4</v>
      </c>
      <c r="W101" s="99">
        <v>0</v>
      </c>
      <c r="X101" s="142">
        <v>1</v>
      </c>
      <c r="Y101" s="142">
        <v>0.3</v>
      </c>
      <c r="Z101" s="142">
        <v>0.1</v>
      </c>
      <c r="AC101" s="99">
        <v>0</v>
      </c>
    </row>
    <row r="102" spans="1:29">
      <c r="A102" s="143" t="s">
        <v>92</v>
      </c>
      <c r="B102" s="143" t="s">
        <v>1611</v>
      </c>
      <c r="C102" s="143" t="s">
        <v>76</v>
      </c>
      <c r="D102" s="143" t="s">
        <v>1572</v>
      </c>
      <c r="E102" s="143" t="s">
        <v>1607</v>
      </c>
      <c r="F102" s="143" t="s">
        <v>1611</v>
      </c>
      <c r="M102" s="143" t="s">
        <v>1577</v>
      </c>
      <c r="N102" s="143" t="s">
        <v>1351</v>
      </c>
      <c r="O102" s="141">
        <v>45495</v>
      </c>
      <c r="P102" s="141">
        <v>45534</v>
      </c>
      <c r="Q102" s="141">
        <v>45508</v>
      </c>
      <c r="R102" s="141">
        <v>45514</v>
      </c>
      <c r="S102" s="271">
        <v>32</v>
      </c>
      <c r="T102" s="99">
        <v>6</v>
      </c>
      <c r="U102" s="99">
        <v>5</v>
      </c>
      <c r="V102" s="99">
        <v>0</v>
      </c>
      <c r="W102" s="99">
        <v>0</v>
      </c>
      <c r="X102" s="142">
        <v>1</v>
      </c>
      <c r="Y102" s="142">
        <v>0.3</v>
      </c>
      <c r="Z102" s="142">
        <v>0.1</v>
      </c>
      <c r="AC102" s="99">
        <v>0</v>
      </c>
    </row>
    <row r="103" spans="1:29">
      <c r="A103" s="143" t="s">
        <v>92</v>
      </c>
      <c r="B103" s="143" t="s">
        <v>1611</v>
      </c>
      <c r="C103" s="143" t="s">
        <v>76</v>
      </c>
      <c r="D103" s="143" t="s">
        <v>1572</v>
      </c>
      <c r="E103" s="143" t="s">
        <v>1607</v>
      </c>
      <c r="F103" s="143" t="s">
        <v>1611</v>
      </c>
      <c r="M103" s="143" t="s">
        <v>1577</v>
      </c>
      <c r="N103" s="143" t="s">
        <v>1614</v>
      </c>
      <c r="O103" s="141">
        <v>45495</v>
      </c>
      <c r="P103" s="141">
        <v>45534</v>
      </c>
      <c r="Q103" s="141">
        <v>45508</v>
      </c>
      <c r="R103" s="141">
        <v>45514</v>
      </c>
      <c r="S103" s="271">
        <v>32</v>
      </c>
      <c r="T103" s="99">
        <v>6</v>
      </c>
      <c r="U103" s="99">
        <v>5</v>
      </c>
      <c r="V103" s="99">
        <v>0</v>
      </c>
      <c r="W103" s="99">
        <v>0</v>
      </c>
      <c r="X103" s="142">
        <v>1</v>
      </c>
      <c r="Y103" s="142">
        <v>0.3</v>
      </c>
      <c r="Z103" s="142">
        <v>0.1</v>
      </c>
      <c r="AC103" s="99">
        <v>0</v>
      </c>
    </row>
    <row r="104" spans="1:29">
      <c r="A104" s="143" t="s">
        <v>92</v>
      </c>
      <c r="B104" s="143" t="s">
        <v>1611</v>
      </c>
      <c r="C104" s="143" t="s">
        <v>76</v>
      </c>
      <c r="D104" s="143" t="s">
        <v>1572</v>
      </c>
      <c r="E104" s="143" t="s">
        <v>1607</v>
      </c>
      <c r="F104" s="143" t="s">
        <v>1611</v>
      </c>
      <c r="M104" s="143" t="s">
        <v>1577</v>
      </c>
      <c r="N104" s="143" t="s">
        <v>1351</v>
      </c>
      <c r="O104" s="141">
        <v>45495</v>
      </c>
      <c r="P104" s="141">
        <v>45534</v>
      </c>
      <c r="Q104" s="141">
        <v>45515</v>
      </c>
      <c r="R104" s="141">
        <v>45521</v>
      </c>
      <c r="S104" s="271">
        <v>33</v>
      </c>
      <c r="T104" s="99">
        <v>7</v>
      </c>
      <c r="U104" s="99">
        <v>5</v>
      </c>
      <c r="V104" s="99">
        <v>0</v>
      </c>
      <c r="W104" s="99">
        <v>0</v>
      </c>
      <c r="X104" s="142">
        <v>1</v>
      </c>
      <c r="Y104" s="142">
        <v>0.3</v>
      </c>
      <c r="Z104" s="142">
        <v>0.1</v>
      </c>
      <c r="AC104" s="99">
        <v>0</v>
      </c>
    </row>
    <row r="105" spans="1:29">
      <c r="A105" s="143" t="s">
        <v>92</v>
      </c>
      <c r="B105" s="143" t="s">
        <v>1611</v>
      </c>
      <c r="C105" s="143" t="s">
        <v>76</v>
      </c>
      <c r="D105" s="143" t="s">
        <v>1572</v>
      </c>
      <c r="E105" s="143" t="s">
        <v>1607</v>
      </c>
      <c r="F105" s="143" t="s">
        <v>1611</v>
      </c>
      <c r="M105" s="143" t="s">
        <v>1577</v>
      </c>
      <c r="N105" s="143" t="s">
        <v>1614</v>
      </c>
      <c r="O105" s="141">
        <v>45495</v>
      </c>
      <c r="P105" s="141">
        <v>45534</v>
      </c>
      <c r="Q105" s="141">
        <v>45515</v>
      </c>
      <c r="R105" s="141">
        <v>45521</v>
      </c>
      <c r="S105" s="271">
        <v>33</v>
      </c>
      <c r="T105" s="99">
        <v>7</v>
      </c>
      <c r="U105" s="99">
        <v>5</v>
      </c>
      <c r="V105" s="99">
        <v>0</v>
      </c>
      <c r="W105" s="99">
        <v>0</v>
      </c>
      <c r="X105" s="142">
        <v>1</v>
      </c>
      <c r="Y105" s="142">
        <v>0.3</v>
      </c>
      <c r="Z105" s="142">
        <v>0.1</v>
      </c>
      <c r="AC105" s="99">
        <v>0</v>
      </c>
    </row>
    <row r="106" spans="1:29">
      <c r="A106" s="143" t="s">
        <v>92</v>
      </c>
      <c r="B106" s="143" t="s">
        <v>1611</v>
      </c>
      <c r="C106" s="143" t="s">
        <v>76</v>
      </c>
      <c r="D106" s="143" t="s">
        <v>1572</v>
      </c>
      <c r="E106" s="143" t="s">
        <v>1607</v>
      </c>
      <c r="F106" s="143" t="s">
        <v>1611</v>
      </c>
      <c r="M106" s="143" t="s">
        <v>1577</v>
      </c>
      <c r="N106" s="143" t="s">
        <v>1351</v>
      </c>
      <c r="O106" s="141">
        <v>45495</v>
      </c>
      <c r="P106" s="141">
        <v>45534</v>
      </c>
      <c r="Q106" s="141">
        <v>45522</v>
      </c>
      <c r="R106" s="141">
        <v>45528</v>
      </c>
      <c r="S106" s="271">
        <v>34</v>
      </c>
      <c r="T106" s="99">
        <v>8</v>
      </c>
      <c r="U106" s="99">
        <v>5</v>
      </c>
      <c r="V106" s="99">
        <v>0</v>
      </c>
      <c r="W106" s="99">
        <v>0</v>
      </c>
      <c r="X106" s="142">
        <v>1</v>
      </c>
      <c r="Y106" s="142">
        <v>0.3</v>
      </c>
      <c r="Z106" s="142">
        <v>0.1</v>
      </c>
      <c r="AC106" s="99">
        <v>0</v>
      </c>
    </row>
    <row r="107" spans="1:29">
      <c r="A107" s="143" t="s">
        <v>92</v>
      </c>
      <c r="B107" s="143" t="s">
        <v>1611</v>
      </c>
      <c r="C107" s="143" t="s">
        <v>76</v>
      </c>
      <c r="D107" s="143" t="s">
        <v>1572</v>
      </c>
      <c r="E107" s="143" t="s">
        <v>1607</v>
      </c>
      <c r="F107" s="143" t="s">
        <v>1611</v>
      </c>
      <c r="M107" s="143" t="s">
        <v>1577</v>
      </c>
      <c r="N107" s="143" t="s">
        <v>1614</v>
      </c>
      <c r="O107" s="141">
        <v>45495</v>
      </c>
      <c r="P107" s="141">
        <v>45534</v>
      </c>
      <c r="Q107" s="141">
        <v>45522</v>
      </c>
      <c r="R107" s="141">
        <v>45528</v>
      </c>
      <c r="S107" s="271">
        <v>34</v>
      </c>
      <c r="T107" s="99">
        <v>8</v>
      </c>
      <c r="U107" s="99">
        <v>5</v>
      </c>
      <c r="V107" s="99">
        <v>0</v>
      </c>
      <c r="W107" s="99">
        <v>0</v>
      </c>
      <c r="X107" s="142">
        <v>1</v>
      </c>
      <c r="Y107" s="142">
        <v>0.3</v>
      </c>
      <c r="Z107" s="142">
        <v>0.1</v>
      </c>
      <c r="AC107" s="99">
        <v>0</v>
      </c>
    </row>
    <row r="108" spans="1:29">
      <c r="A108" s="143" t="s">
        <v>92</v>
      </c>
      <c r="B108" s="143" t="s">
        <v>1611</v>
      </c>
      <c r="C108" s="143" t="s">
        <v>76</v>
      </c>
      <c r="D108" s="143" t="s">
        <v>1572</v>
      </c>
      <c r="E108" s="143" t="s">
        <v>1607</v>
      </c>
      <c r="F108" s="143" t="s">
        <v>1611</v>
      </c>
      <c r="M108" s="143" t="s">
        <v>1577</v>
      </c>
      <c r="N108" s="143" t="s">
        <v>1351</v>
      </c>
      <c r="O108" s="141">
        <v>45495</v>
      </c>
      <c r="P108" s="141">
        <v>45534</v>
      </c>
      <c r="Q108" s="141">
        <v>45529</v>
      </c>
      <c r="R108" s="141">
        <v>45535</v>
      </c>
      <c r="S108" s="271">
        <v>35</v>
      </c>
      <c r="T108" s="99">
        <v>9</v>
      </c>
      <c r="U108" s="99">
        <v>5</v>
      </c>
      <c r="V108" s="99">
        <v>0</v>
      </c>
      <c r="W108" s="99">
        <v>0</v>
      </c>
      <c r="X108" s="142">
        <v>1</v>
      </c>
      <c r="Y108" s="142">
        <v>0.3</v>
      </c>
      <c r="Z108" s="142">
        <v>0.1</v>
      </c>
      <c r="AC108" s="99">
        <v>0</v>
      </c>
    </row>
    <row r="109" spans="1:29">
      <c r="A109" s="143" t="s">
        <v>92</v>
      </c>
      <c r="B109" s="143" t="s">
        <v>1611</v>
      </c>
      <c r="C109" s="143" t="s">
        <v>76</v>
      </c>
      <c r="D109" s="143" t="s">
        <v>1572</v>
      </c>
      <c r="E109" s="143" t="s">
        <v>1607</v>
      </c>
      <c r="F109" s="143" t="s">
        <v>1611</v>
      </c>
      <c r="M109" s="143" t="s">
        <v>1577</v>
      </c>
      <c r="N109" s="143" t="s">
        <v>1614</v>
      </c>
      <c r="O109" s="141">
        <v>45495</v>
      </c>
      <c r="P109" s="141">
        <v>45534</v>
      </c>
      <c r="Q109" s="141">
        <v>45529</v>
      </c>
      <c r="R109" s="141">
        <v>45535</v>
      </c>
      <c r="S109" s="271">
        <v>35</v>
      </c>
      <c r="T109" s="99">
        <v>9</v>
      </c>
      <c r="U109" s="99">
        <v>5</v>
      </c>
      <c r="V109" s="99">
        <v>0</v>
      </c>
      <c r="W109" s="99">
        <v>0</v>
      </c>
      <c r="X109" s="142">
        <v>1</v>
      </c>
      <c r="Y109" s="142">
        <v>0.3</v>
      </c>
      <c r="Z109" s="142">
        <v>0.1</v>
      </c>
      <c r="AC109" s="99">
        <v>0</v>
      </c>
    </row>
    <row r="110" spans="1:29">
      <c r="A110" s="143" t="s">
        <v>92</v>
      </c>
      <c r="B110" s="143" t="s">
        <v>1612</v>
      </c>
      <c r="C110" s="143" t="s">
        <v>76</v>
      </c>
      <c r="D110" s="143" t="s">
        <v>1572</v>
      </c>
      <c r="E110" s="143" t="s">
        <v>1607</v>
      </c>
      <c r="F110" s="143" t="s">
        <v>1612</v>
      </c>
      <c r="M110" s="143" t="s">
        <v>1552</v>
      </c>
      <c r="N110" s="143" t="s">
        <v>1351</v>
      </c>
      <c r="O110" s="141">
        <v>45495</v>
      </c>
      <c r="P110" s="141">
        <v>45534</v>
      </c>
      <c r="Q110" s="141">
        <v>45494</v>
      </c>
      <c r="R110" s="141">
        <v>45500</v>
      </c>
      <c r="S110" s="271">
        <v>30</v>
      </c>
      <c r="T110" s="99">
        <v>4</v>
      </c>
      <c r="U110" s="99">
        <v>5</v>
      </c>
      <c r="V110" s="99">
        <v>5</v>
      </c>
      <c r="W110" s="99">
        <v>0</v>
      </c>
      <c r="X110" s="142">
        <v>1</v>
      </c>
      <c r="Y110" s="142">
        <v>0.3</v>
      </c>
      <c r="Z110" s="142">
        <v>0</v>
      </c>
      <c r="AC110" s="99">
        <v>0</v>
      </c>
    </row>
    <row r="111" spans="1:29">
      <c r="A111" s="143" t="s">
        <v>92</v>
      </c>
      <c r="B111" s="143" t="s">
        <v>1612</v>
      </c>
      <c r="C111" s="143" t="s">
        <v>76</v>
      </c>
      <c r="D111" s="143" t="s">
        <v>1572</v>
      </c>
      <c r="E111" s="143" t="s">
        <v>1607</v>
      </c>
      <c r="F111" s="143" t="s">
        <v>1612</v>
      </c>
      <c r="M111" s="143" t="s">
        <v>1552</v>
      </c>
      <c r="N111" s="143" t="s">
        <v>1614</v>
      </c>
      <c r="O111" s="141">
        <v>45495</v>
      </c>
      <c r="P111" s="141">
        <v>45534</v>
      </c>
      <c r="Q111" s="141">
        <v>45494</v>
      </c>
      <c r="R111" s="141">
        <v>45500</v>
      </c>
      <c r="S111" s="271">
        <v>30</v>
      </c>
      <c r="T111" s="99">
        <v>4</v>
      </c>
      <c r="U111" s="99">
        <v>5</v>
      </c>
      <c r="V111" s="99">
        <v>5</v>
      </c>
      <c r="W111" s="99">
        <v>0</v>
      </c>
      <c r="X111" s="142">
        <v>1</v>
      </c>
      <c r="Y111" s="142">
        <v>0.3</v>
      </c>
      <c r="Z111" s="142">
        <v>0</v>
      </c>
      <c r="AC111" s="99">
        <v>0</v>
      </c>
    </row>
    <row r="112" spans="1:29">
      <c r="A112" s="143" t="s">
        <v>92</v>
      </c>
      <c r="B112" s="143" t="s">
        <v>1612</v>
      </c>
      <c r="C112" s="143" t="s">
        <v>76</v>
      </c>
      <c r="D112" s="143" t="s">
        <v>1572</v>
      </c>
      <c r="E112" s="143" t="s">
        <v>1607</v>
      </c>
      <c r="F112" s="143" t="s">
        <v>1612</v>
      </c>
      <c r="M112" s="143" t="s">
        <v>1552</v>
      </c>
      <c r="N112" s="143" t="s">
        <v>1351</v>
      </c>
      <c r="O112" s="141">
        <v>45495</v>
      </c>
      <c r="P112" s="141">
        <v>45534</v>
      </c>
      <c r="Q112" s="141">
        <v>45501</v>
      </c>
      <c r="R112" s="141">
        <v>45507</v>
      </c>
      <c r="S112" s="271">
        <v>31</v>
      </c>
      <c r="T112" s="99">
        <v>5</v>
      </c>
      <c r="U112" s="99">
        <v>5</v>
      </c>
      <c r="V112" s="99">
        <v>4</v>
      </c>
      <c r="W112" s="99">
        <v>0</v>
      </c>
      <c r="X112" s="142">
        <v>1</v>
      </c>
      <c r="Y112" s="142">
        <v>0.3</v>
      </c>
      <c r="Z112" s="142">
        <v>0</v>
      </c>
      <c r="AC112" s="99">
        <v>0</v>
      </c>
    </row>
    <row r="113" spans="1:29">
      <c r="A113" s="143" t="s">
        <v>92</v>
      </c>
      <c r="B113" s="143" t="s">
        <v>1612</v>
      </c>
      <c r="C113" s="143" t="s">
        <v>76</v>
      </c>
      <c r="D113" s="143" t="s">
        <v>1572</v>
      </c>
      <c r="E113" s="143" t="s">
        <v>1607</v>
      </c>
      <c r="F113" s="143" t="s">
        <v>1612</v>
      </c>
      <c r="M113" s="143" t="s">
        <v>1552</v>
      </c>
      <c r="N113" s="143" t="s">
        <v>1614</v>
      </c>
      <c r="O113" s="141">
        <v>45495</v>
      </c>
      <c r="P113" s="141">
        <v>45534</v>
      </c>
      <c r="Q113" s="141">
        <v>45501</v>
      </c>
      <c r="R113" s="141">
        <v>45507</v>
      </c>
      <c r="S113" s="271">
        <v>31</v>
      </c>
      <c r="T113" s="99">
        <v>5</v>
      </c>
      <c r="U113" s="99">
        <v>5</v>
      </c>
      <c r="V113" s="99">
        <v>4</v>
      </c>
      <c r="W113" s="99">
        <v>0</v>
      </c>
      <c r="X113" s="142">
        <v>1</v>
      </c>
      <c r="Y113" s="142">
        <v>0.3</v>
      </c>
      <c r="Z113" s="142">
        <v>0</v>
      </c>
      <c r="AC113" s="99">
        <v>0</v>
      </c>
    </row>
    <row r="114" spans="1:29">
      <c r="A114" s="143" t="s">
        <v>92</v>
      </c>
      <c r="B114" s="143" t="s">
        <v>1612</v>
      </c>
      <c r="C114" s="143" t="s">
        <v>76</v>
      </c>
      <c r="D114" s="143" t="s">
        <v>1572</v>
      </c>
      <c r="E114" s="143" t="s">
        <v>1607</v>
      </c>
      <c r="F114" s="143" t="s">
        <v>1612</v>
      </c>
      <c r="M114" s="143" t="s">
        <v>1552</v>
      </c>
      <c r="N114" s="143" t="s">
        <v>1351</v>
      </c>
      <c r="O114" s="141">
        <v>45495</v>
      </c>
      <c r="P114" s="141">
        <v>45534</v>
      </c>
      <c r="Q114" s="141">
        <v>45508</v>
      </c>
      <c r="R114" s="141">
        <v>45514</v>
      </c>
      <c r="S114" s="271">
        <v>32</v>
      </c>
      <c r="T114" s="99">
        <v>6</v>
      </c>
      <c r="U114" s="99">
        <v>5</v>
      </c>
      <c r="V114" s="99">
        <v>0</v>
      </c>
      <c r="W114" s="99">
        <v>0</v>
      </c>
      <c r="X114" s="142">
        <v>1</v>
      </c>
      <c r="Y114" s="142">
        <v>0.3</v>
      </c>
      <c r="Z114" s="142">
        <v>0</v>
      </c>
      <c r="AC114" s="99">
        <v>0</v>
      </c>
    </row>
    <row r="115" spans="1:29">
      <c r="A115" s="143" t="s">
        <v>92</v>
      </c>
      <c r="B115" s="143" t="s">
        <v>1612</v>
      </c>
      <c r="C115" s="143" t="s">
        <v>76</v>
      </c>
      <c r="D115" s="143" t="s">
        <v>1572</v>
      </c>
      <c r="E115" s="143" t="s">
        <v>1607</v>
      </c>
      <c r="F115" s="143" t="s">
        <v>1612</v>
      </c>
      <c r="M115" s="143" t="s">
        <v>1552</v>
      </c>
      <c r="N115" s="143" t="s">
        <v>1614</v>
      </c>
      <c r="O115" s="141">
        <v>45495</v>
      </c>
      <c r="P115" s="141">
        <v>45534</v>
      </c>
      <c r="Q115" s="141">
        <v>45508</v>
      </c>
      <c r="R115" s="141">
        <v>45514</v>
      </c>
      <c r="S115" s="271">
        <v>32</v>
      </c>
      <c r="T115" s="99">
        <v>6</v>
      </c>
      <c r="U115" s="99">
        <v>5</v>
      </c>
      <c r="V115" s="99">
        <v>0</v>
      </c>
      <c r="W115" s="99">
        <v>0</v>
      </c>
      <c r="X115" s="142">
        <v>1</v>
      </c>
      <c r="Y115" s="142">
        <v>0.3</v>
      </c>
      <c r="Z115" s="142">
        <v>0</v>
      </c>
      <c r="AC115" s="99">
        <v>0</v>
      </c>
    </row>
    <row r="116" spans="1:29">
      <c r="A116" s="143" t="s">
        <v>92</v>
      </c>
      <c r="B116" s="143" t="s">
        <v>1612</v>
      </c>
      <c r="C116" s="143" t="s">
        <v>76</v>
      </c>
      <c r="D116" s="143" t="s">
        <v>1572</v>
      </c>
      <c r="E116" s="143" t="s">
        <v>1607</v>
      </c>
      <c r="F116" s="143" t="s">
        <v>1612</v>
      </c>
      <c r="M116" s="143" t="s">
        <v>1552</v>
      </c>
      <c r="N116" s="143" t="s">
        <v>1351</v>
      </c>
      <c r="O116" s="141">
        <v>45495</v>
      </c>
      <c r="P116" s="141">
        <v>45534</v>
      </c>
      <c r="Q116" s="141">
        <v>45515</v>
      </c>
      <c r="R116" s="141">
        <v>45521</v>
      </c>
      <c r="S116" s="271">
        <v>33</v>
      </c>
      <c r="T116" s="99">
        <v>7</v>
      </c>
      <c r="U116" s="99">
        <v>5</v>
      </c>
      <c r="V116" s="99">
        <v>0</v>
      </c>
      <c r="W116" s="99">
        <v>0</v>
      </c>
      <c r="X116" s="142">
        <v>1</v>
      </c>
      <c r="Y116" s="142">
        <v>0.3</v>
      </c>
      <c r="Z116" s="142">
        <v>0</v>
      </c>
      <c r="AC116" s="99">
        <v>0</v>
      </c>
    </row>
    <row r="117" spans="1:29">
      <c r="A117" s="143" t="s">
        <v>92</v>
      </c>
      <c r="B117" s="143" t="s">
        <v>1612</v>
      </c>
      <c r="C117" s="143" t="s">
        <v>76</v>
      </c>
      <c r="D117" s="143" t="s">
        <v>1572</v>
      </c>
      <c r="E117" s="143" t="s">
        <v>1607</v>
      </c>
      <c r="F117" s="143" t="s">
        <v>1612</v>
      </c>
      <c r="M117" s="143" t="s">
        <v>1552</v>
      </c>
      <c r="N117" s="143" t="s">
        <v>1614</v>
      </c>
      <c r="O117" s="141">
        <v>45495</v>
      </c>
      <c r="P117" s="141">
        <v>45534</v>
      </c>
      <c r="Q117" s="141">
        <v>45515</v>
      </c>
      <c r="R117" s="141">
        <v>45521</v>
      </c>
      <c r="S117" s="271">
        <v>33</v>
      </c>
      <c r="T117" s="99">
        <v>7</v>
      </c>
      <c r="U117" s="99">
        <v>5</v>
      </c>
      <c r="V117" s="99">
        <v>0</v>
      </c>
      <c r="W117" s="99">
        <v>0</v>
      </c>
      <c r="X117" s="142">
        <v>1</v>
      </c>
      <c r="Y117" s="142">
        <v>0.3</v>
      </c>
      <c r="Z117" s="142">
        <v>0</v>
      </c>
      <c r="AC117" s="99">
        <v>0</v>
      </c>
    </row>
    <row r="118" spans="1:29">
      <c r="A118" s="143" t="s">
        <v>92</v>
      </c>
      <c r="B118" s="143" t="s">
        <v>1612</v>
      </c>
      <c r="C118" s="143" t="s">
        <v>76</v>
      </c>
      <c r="D118" s="143" t="s">
        <v>1572</v>
      </c>
      <c r="E118" s="143" t="s">
        <v>1607</v>
      </c>
      <c r="F118" s="143" t="s">
        <v>1612</v>
      </c>
      <c r="M118" s="143" t="s">
        <v>1552</v>
      </c>
      <c r="N118" s="143" t="s">
        <v>1351</v>
      </c>
      <c r="O118" s="141">
        <v>45495</v>
      </c>
      <c r="P118" s="141">
        <v>45534</v>
      </c>
      <c r="Q118" s="141">
        <v>45522</v>
      </c>
      <c r="R118" s="141">
        <v>45528</v>
      </c>
      <c r="S118" s="271">
        <v>34</v>
      </c>
      <c r="T118" s="99">
        <v>8</v>
      </c>
      <c r="U118" s="99">
        <v>5</v>
      </c>
      <c r="V118" s="99">
        <v>0</v>
      </c>
      <c r="W118" s="99">
        <v>0</v>
      </c>
      <c r="X118" s="142">
        <v>1</v>
      </c>
      <c r="Y118" s="142">
        <v>0.3</v>
      </c>
      <c r="Z118" s="142">
        <v>0</v>
      </c>
      <c r="AC118" s="99">
        <v>0</v>
      </c>
    </row>
    <row r="119" spans="1:29">
      <c r="A119" s="143" t="s">
        <v>92</v>
      </c>
      <c r="B119" s="143" t="s">
        <v>1612</v>
      </c>
      <c r="C119" s="143" t="s">
        <v>76</v>
      </c>
      <c r="D119" s="143" t="s">
        <v>1572</v>
      </c>
      <c r="E119" s="143" t="s">
        <v>1607</v>
      </c>
      <c r="F119" s="143" t="s">
        <v>1612</v>
      </c>
      <c r="M119" s="143" t="s">
        <v>1552</v>
      </c>
      <c r="N119" s="143" t="s">
        <v>1614</v>
      </c>
      <c r="O119" s="141">
        <v>45495</v>
      </c>
      <c r="P119" s="141">
        <v>45534</v>
      </c>
      <c r="Q119" s="141">
        <v>45522</v>
      </c>
      <c r="R119" s="141">
        <v>45528</v>
      </c>
      <c r="S119" s="271">
        <v>34</v>
      </c>
      <c r="T119" s="99">
        <v>8</v>
      </c>
      <c r="U119" s="99">
        <v>5</v>
      </c>
      <c r="V119" s="99">
        <v>0</v>
      </c>
      <c r="W119" s="99">
        <v>0</v>
      </c>
      <c r="X119" s="142">
        <v>1</v>
      </c>
      <c r="Y119" s="142">
        <v>0.3</v>
      </c>
      <c r="Z119" s="142">
        <v>0</v>
      </c>
      <c r="AC119" s="99">
        <v>0</v>
      </c>
    </row>
    <row r="120" spans="1:29">
      <c r="A120" s="143" t="s">
        <v>92</v>
      </c>
      <c r="B120" s="143" t="s">
        <v>1612</v>
      </c>
      <c r="C120" s="143" t="s">
        <v>76</v>
      </c>
      <c r="D120" s="143" t="s">
        <v>1572</v>
      </c>
      <c r="E120" s="143" t="s">
        <v>1607</v>
      </c>
      <c r="F120" s="143" t="s">
        <v>1612</v>
      </c>
      <c r="M120" s="143" t="s">
        <v>1552</v>
      </c>
      <c r="N120" s="143" t="s">
        <v>1351</v>
      </c>
      <c r="O120" s="141">
        <v>45495</v>
      </c>
      <c r="P120" s="141">
        <v>45534</v>
      </c>
      <c r="Q120" s="141">
        <v>45529</v>
      </c>
      <c r="R120" s="141">
        <v>45535</v>
      </c>
      <c r="S120" s="271">
        <v>35</v>
      </c>
      <c r="T120" s="99">
        <v>9</v>
      </c>
      <c r="U120" s="99">
        <v>5</v>
      </c>
      <c r="V120" s="99">
        <v>0</v>
      </c>
      <c r="W120" s="99">
        <v>0</v>
      </c>
      <c r="X120" s="142">
        <v>1</v>
      </c>
      <c r="Y120" s="142">
        <v>0.3</v>
      </c>
      <c r="Z120" s="142">
        <v>0</v>
      </c>
      <c r="AC120" s="99">
        <v>0</v>
      </c>
    </row>
    <row r="121" spans="1:29">
      <c r="A121" s="143" t="s">
        <v>92</v>
      </c>
      <c r="B121" s="143" t="s">
        <v>1612</v>
      </c>
      <c r="C121" s="143" t="s">
        <v>76</v>
      </c>
      <c r="D121" s="143" t="s">
        <v>1572</v>
      </c>
      <c r="E121" s="143" t="s">
        <v>1607</v>
      </c>
      <c r="F121" s="143" t="s">
        <v>1612</v>
      </c>
      <c r="M121" s="143" t="s">
        <v>1552</v>
      </c>
      <c r="N121" s="143" t="s">
        <v>1614</v>
      </c>
      <c r="O121" s="141">
        <v>45495</v>
      </c>
      <c r="P121" s="141">
        <v>45534</v>
      </c>
      <c r="Q121" s="141">
        <v>45529</v>
      </c>
      <c r="R121" s="141">
        <v>45535</v>
      </c>
      <c r="S121" s="271">
        <v>35</v>
      </c>
      <c r="T121" s="99">
        <v>9</v>
      </c>
      <c r="U121" s="99">
        <v>5</v>
      </c>
      <c r="V121" s="99">
        <v>0</v>
      </c>
      <c r="W121" s="99">
        <v>0</v>
      </c>
      <c r="X121" s="142">
        <v>1</v>
      </c>
      <c r="Y121" s="142">
        <v>0.3</v>
      </c>
      <c r="Z121" s="142">
        <v>0</v>
      </c>
      <c r="AC121" s="99">
        <v>0</v>
      </c>
    </row>
    <row r="122" spans="1:29">
      <c r="A122" s="143" t="s">
        <v>92</v>
      </c>
      <c r="B122" s="143" t="s">
        <v>1613</v>
      </c>
      <c r="C122" s="143" t="s">
        <v>76</v>
      </c>
      <c r="D122" s="143" t="s">
        <v>1572</v>
      </c>
      <c r="E122" s="143" t="s">
        <v>1607</v>
      </c>
      <c r="F122" s="143" t="s">
        <v>1613</v>
      </c>
      <c r="M122" s="143" t="s">
        <v>1576</v>
      </c>
      <c r="N122" s="143" t="s">
        <v>1351</v>
      </c>
      <c r="O122" s="141">
        <v>45495</v>
      </c>
      <c r="P122" s="141">
        <v>45534</v>
      </c>
      <c r="Q122" s="141">
        <v>45494</v>
      </c>
      <c r="R122" s="141">
        <v>45500</v>
      </c>
      <c r="S122" s="271">
        <v>30</v>
      </c>
      <c r="T122" s="99">
        <v>4</v>
      </c>
      <c r="U122" s="99">
        <v>5</v>
      </c>
      <c r="V122" s="99">
        <v>5</v>
      </c>
      <c r="W122" s="99">
        <v>0</v>
      </c>
      <c r="X122" s="142">
        <v>1</v>
      </c>
      <c r="Y122" s="142">
        <v>0.3</v>
      </c>
      <c r="Z122" s="142">
        <v>0</v>
      </c>
      <c r="AC122" s="99">
        <v>0</v>
      </c>
    </row>
    <row r="123" spans="1:29">
      <c r="A123" s="143" t="s">
        <v>92</v>
      </c>
      <c r="B123" s="143" t="s">
        <v>1613</v>
      </c>
      <c r="C123" s="143" t="s">
        <v>76</v>
      </c>
      <c r="D123" s="143" t="s">
        <v>1572</v>
      </c>
      <c r="E123" s="143" t="s">
        <v>1607</v>
      </c>
      <c r="F123" s="143" t="s">
        <v>1613</v>
      </c>
      <c r="M123" s="143" t="s">
        <v>1576</v>
      </c>
      <c r="N123" s="143" t="s">
        <v>1614</v>
      </c>
      <c r="O123" s="141">
        <v>45495</v>
      </c>
      <c r="P123" s="141">
        <v>45534</v>
      </c>
      <c r="Q123" s="141">
        <v>45494</v>
      </c>
      <c r="R123" s="141">
        <v>45500</v>
      </c>
      <c r="S123" s="271">
        <v>30</v>
      </c>
      <c r="T123" s="99">
        <v>4</v>
      </c>
      <c r="U123" s="99">
        <v>5</v>
      </c>
      <c r="V123" s="99">
        <v>5</v>
      </c>
      <c r="W123" s="99">
        <v>0</v>
      </c>
      <c r="X123" s="142">
        <v>1</v>
      </c>
      <c r="Y123" s="142">
        <v>0.3</v>
      </c>
      <c r="Z123" s="142">
        <v>0</v>
      </c>
      <c r="AC123" s="99">
        <v>0</v>
      </c>
    </row>
    <row r="124" spans="1:29">
      <c r="A124" s="143" t="s">
        <v>92</v>
      </c>
      <c r="B124" s="143" t="s">
        <v>1613</v>
      </c>
      <c r="C124" s="143" t="s">
        <v>76</v>
      </c>
      <c r="D124" s="143" t="s">
        <v>1572</v>
      </c>
      <c r="E124" s="143" t="s">
        <v>1607</v>
      </c>
      <c r="F124" s="143" t="s">
        <v>1613</v>
      </c>
      <c r="M124" s="143" t="s">
        <v>1576</v>
      </c>
      <c r="N124" s="143" t="s">
        <v>1351</v>
      </c>
      <c r="O124" s="141">
        <v>45495</v>
      </c>
      <c r="P124" s="141">
        <v>45534</v>
      </c>
      <c r="Q124" s="141">
        <v>45501</v>
      </c>
      <c r="R124" s="141">
        <v>45507</v>
      </c>
      <c r="S124" s="271">
        <v>31</v>
      </c>
      <c r="T124" s="99">
        <v>5</v>
      </c>
      <c r="U124" s="99">
        <v>5</v>
      </c>
      <c r="V124" s="99">
        <v>4</v>
      </c>
      <c r="W124" s="99">
        <v>0</v>
      </c>
      <c r="X124" s="142">
        <v>1</v>
      </c>
      <c r="Y124" s="142">
        <v>0.3</v>
      </c>
      <c r="Z124" s="142">
        <v>0</v>
      </c>
      <c r="AC124" s="99">
        <v>0</v>
      </c>
    </row>
    <row r="125" spans="1:29">
      <c r="A125" s="143" t="s">
        <v>92</v>
      </c>
      <c r="B125" s="143" t="s">
        <v>1613</v>
      </c>
      <c r="C125" s="143" t="s">
        <v>76</v>
      </c>
      <c r="D125" s="143" t="s">
        <v>1572</v>
      </c>
      <c r="E125" s="143" t="s">
        <v>1607</v>
      </c>
      <c r="F125" s="143" t="s">
        <v>1613</v>
      </c>
      <c r="M125" s="143" t="s">
        <v>1576</v>
      </c>
      <c r="N125" s="143" t="s">
        <v>1614</v>
      </c>
      <c r="O125" s="141">
        <v>45495</v>
      </c>
      <c r="P125" s="141">
        <v>45534</v>
      </c>
      <c r="Q125" s="141">
        <v>45501</v>
      </c>
      <c r="R125" s="141">
        <v>45507</v>
      </c>
      <c r="S125" s="271">
        <v>31</v>
      </c>
      <c r="T125" s="99">
        <v>5</v>
      </c>
      <c r="U125" s="99">
        <v>5</v>
      </c>
      <c r="V125" s="99">
        <v>4</v>
      </c>
      <c r="W125" s="99">
        <v>0</v>
      </c>
      <c r="X125" s="142">
        <v>1</v>
      </c>
      <c r="Y125" s="142">
        <v>0.3</v>
      </c>
      <c r="Z125" s="142">
        <v>0</v>
      </c>
      <c r="AC125" s="99">
        <v>0</v>
      </c>
    </row>
    <row r="126" spans="1:29">
      <c r="A126" s="143" t="s">
        <v>92</v>
      </c>
      <c r="B126" s="143" t="s">
        <v>1613</v>
      </c>
      <c r="C126" s="143" t="s">
        <v>76</v>
      </c>
      <c r="D126" s="143" t="s">
        <v>1572</v>
      </c>
      <c r="E126" s="143" t="s">
        <v>1607</v>
      </c>
      <c r="F126" s="143" t="s">
        <v>1613</v>
      </c>
      <c r="M126" s="143" t="s">
        <v>1576</v>
      </c>
      <c r="N126" s="143" t="s">
        <v>1351</v>
      </c>
      <c r="O126" s="141">
        <v>45495</v>
      </c>
      <c r="P126" s="141">
        <v>45534</v>
      </c>
      <c r="Q126" s="141">
        <v>45508</v>
      </c>
      <c r="R126" s="141">
        <v>45514</v>
      </c>
      <c r="S126" s="271">
        <v>32</v>
      </c>
      <c r="T126" s="99">
        <v>6</v>
      </c>
      <c r="U126" s="99">
        <v>5</v>
      </c>
      <c r="V126" s="99">
        <v>0</v>
      </c>
      <c r="W126" s="99">
        <v>0</v>
      </c>
      <c r="X126" s="142">
        <v>1</v>
      </c>
      <c r="Y126" s="142">
        <v>0.3</v>
      </c>
      <c r="Z126" s="142">
        <v>0</v>
      </c>
      <c r="AC126" s="99">
        <v>0</v>
      </c>
    </row>
    <row r="127" spans="1:29">
      <c r="A127" s="143" t="s">
        <v>92</v>
      </c>
      <c r="B127" s="143" t="s">
        <v>1613</v>
      </c>
      <c r="C127" s="143" t="s">
        <v>76</v>
      </c>
      <c r="D127" s="143" t="s">
        <v>1572</v>
      </c>
      <c r="E127" s="143" t="s">
        <v>1607</v>
      </c>
      <c r="F127" s="143" t="s">
        <v>1613</v>
      </c>
      <c r="M127" s="143" t="s">
        <v>1576</v>
      </c>
      <c r="N127" s="143" t="s">
        <v>1614</v>
      </c>
      <c r="O127" s="141">
        <v>45495</v>
      </c>
      <c r="P127" s="141">
        <v>45534</v>
      </c>
      <c r="Q127" s="141">
        <v>45508</v>
      </c>
      <c r="R127" s="141">
        <v>45514</v>
      </c>
      <c r="S127" s="271">
        <v>32</v>
      </c>
      <c r="T127" s="99">
        <v>6</v>
      </c>
      <c r="U127" s="99">
        <v>5</v>
      </c>
      <c r="V127" s="99">
        <v>0</v>
      </c>
      <c r="W127" s="99">
        <v>0</v>
      </c>
      <c r="X127" s="142">
        <v>1</v>
      </c>
      <c r="Y127" s="142">
        <v>0.3</v>
      </c>
      <c r="Z127" s="142">
        <v>0</v>
      </c>
      <c r="AC127" s="99">
        <v>0</v>
      </c>
    </row>
    <row r="128" spans="1:29">
      <c r="A128" s="143" t="s">
        <v>92</v>
      </c>
      <c r="B128" s="143" t="s">
        <v>1613</v>
      </c>
      <c r="C128" s="143" t="s">
        <v>76</v>
      </c>
      <c r="D128" s="143" t="s">
        <v>1572</v>
      </c>
      <c r="E128" s="143" t="s">
        <v>1607</v>
      </c>
      <c r="F128" s="143" t="s">
        <v>1613</v>
      </c>
      <c r="M128" s="143" t="s">
        <v>1576</v>
      </c>
      <c r="N128" s="143" t="s">
        <v>1351</v>
      </c>
      <c r="O128" s="141">
        <v>45495</v>
      </c>
      <c r="P128" s="141">
        <v>45534</v>
      </c>
      <c r="Q128" s="141">
        <v>45515</v>
      </c>
      <c r="R128" s="141">
        <v>45521</v>
      </c>
      <c r="S128" s="271">
        <v>33</v>
      </c>
      <c r="T128" s="99">
        <v>7</v>
      </c>
      <c r="U128" s="99">
        <v>5</v>
      </c>
      <c r="V128" s="99">
        <v>0</v>
      </c>
      <c r="W128" s="99">
        <v>0</v>
      </c>
      <c r="X128" s="142">
        <v>1</v>
      </c>
      <c r="Y128" s="142">
        <v>0.3</v>
      </c>
      <c r="Z128" s="142">
        <v>0</v>
      </c>
      <c r="AC128" s="99">
        <v>0</v>
      </c>
    </row>
    <row r="129" spans="1:29">
      <c r="A129" s="143" t="s">
        <v>92</v>
      </c>
      <c r="B129" s="143" t="s">
        <v>1613</v>
      </c>
      <c r="C129" s="143" t="s">
        <v>76</v>
      </c>
      <c r="D129" s="143" t="s">
        <v>1572</v>
      </c>
      <c r="E129" s="143" t="s">
        <v>1607</v>
      </c>
      <c r="F129" s="143" t="s">
        <v>1613</v>
      </c>
      <c r="M129" s="143" t="s">
        <v>1576</v>
      </c>
      <c r="N129" s="143" t="s">
        <v>1614</v>
      </c>
      <c r="O129" s="141">
        <v>45495</v>
      </c>
      <c r="P129" s="141">
        <v>45534</v>
      </c>
      <c r="Q129" s="141">
        <v>45515</v>
      </c>
      <c r="R129" s="141">
        <v>45521</v>
      </c>
      <c r="S129" s="271">
        <v>33</v>
      </c>
      <c r="T129" s="99">
        <v>7</v>
      </c>
      <c r="U129" s="99">
        <v>5</v>
      </c>
      <c r="V129" s="99">
        <v>0</v>
      </c>
      <c r="W129" s="99">
        <v>0</v>
      </c>
      <c r="X129" s="142">
        <v>1</v>
      </c>
      <c r="Y129" s="142">
        <v>0.3</v>
      </c>
      <c r="Z129" s="142">
        <v>0</v>
      </c>
      <c r="AC129" s="99">
        <v>0</v>
      </c>
    </row>
    <row r="130" spans="1:29">
      <c r="A130" s="143" t="s">
        <v>92</v>
      </c>
      <c r="B130" s="143" t="s">
        <v>1613</v>
      </c>
      <c r="C130" s="143" t="s">
        <v>76</v>
      </c>
      <c r="D130" s="143" t="s">
        <v>1572</v>
      </c>
      <c r="E130" s="143" t="s">
        <v>1607</v>
      </c>
      <c r="F130" s="143" t="s">
        <v>1613</v>
      </c>
      <c r="M130" s="143" t="s">
        <v>1576</v>
      </c>
      <c r="N130" s="143" t="s">
        <v>1351</v>
      </c>
      <c r="O130" s="141">
        <v>45495</v>
      </c>
      <c r="P130" s="141">
        <v>45534</v>
      </c>
      <c r="Q130" s="141">
        <v>45522</v>
      </c>
      <c r="R130" s="141">
        <v>45528</v>
      </c>
      <c r="S130" s="271">
        <v>34</v>
      </c>
      <c r="T130" s="99">
        <v>8</v>
      </c>
      <c r="U130" s="99">
        <v>5</v>
      </c>
      <c r="V130" s="99">
        <v>0</v>
      </c>
      <c r="W130" s="99">
        <v>0</v>
      </c>
      <c r="X130" s="142">
        <v>1</v>
      </c>
      <c r="Y130" s="142">
        <v>0.3</v>
      </c>
      <c r="Z130" s="142">
        <v>0</v>
      </c>
      <c r="AC130" s="99">
        <v>0</v>
      </c>
    </row>
    <row r="131" spans="1:29">
      <c r="A131" s="143" t="s">
        <v>92</v>
      </c>
      <c r="B131" s="143" t="s">
        <v>1613</v>
      </c>
      <c r="C131" s="143" t="s">
        <v>76</v>
      </c>
      <c r="D131" s="143" t="s">
        <v>1572</v>
      </c>
      <c r="E131" s="143" t="s">
        <v>1607</v>
      </c>
      <c r="F131" s="143" t="s">
        <v>1613</v>
      </c>
      <c r="M131" s="143" t="s">
        <v>1576</v>
      </c>
      <c r="N131" s="143" t="s">
        <v>1614</v>
      </c>
      <c r="O131" s="141">
        <v>45495</v>
      </c>
      <c r="P131" s="141">
        <v>45534</v>
      </c>
      <c r="Q131" s="141">
        <v>45522</v>
      </c>
      <c r="R131" s="141">
        <v>45528</v>
      </c>
      <c r="S131" s="271">
        <v>34</v>
      </c>
      <c r="T131" s="99">
        <v>8</v>
      </c>
      <c r="U131" s="99">
        <v>5</v>
      </c>
      <c r="V131" s="99">
        <v>0</v>
      </c>
      <c r="W131" s="99">
        <v>0</v>
      </c>
      <c r="X131" s="142">
        <v>1</v>
      </c>
      <c r="Y131" s="142">
        <v>0.3</v>
      </c>
      <c r="Z131" s="142">
        <v>0</v>
      </c>
      <c r="AC131" s="99">
        <v>0</v>
      </c>
    </row>
    <row r="132" spans="1:29">
      <c r="A132" s="143" t="s">
        <v>92</v>
      </c>
      <c r="B132" s="143" t="s">
        <v>1613</v>
      </c>
      <c r="C132" s="143" t="s">
        <v>76</v>
      </c>
      <c r="D132" s="143" t="s">
        <v>1572</v>
      </c>
      <c r="E132" s="143" t="s">
        <v>1607</v>
      </c>
      <c r="F132" s="143" t="s">
        <v>1613</v>
      </c>
      <c r="M132" s="143" t="s">
        <v>1576</v>
      </c>
      <c r="N132" s="143" t="s">
        <v>1351</v>
      </c>
      <c r="O132" s="141">
        <v>45495</v>
      </c>
      <c r="P132" s="141">
        <v>45534</v>
      </c>
      <c r="Q132" s="141">
        <v>45529</v>
      </c>
      <c r="R132" s="141">
        <v>45535</v>
      </c>
      <c r="S132" s="271">
        <v>35</v>
      </c>
      <c r="T132" s="99">
        <v>9</v>
      </c>
      <c r="U132" s="99">
        <v>5</v>
      </c>
      <c r="V132" s="99">
        <v>0</v>
      </c>
      <c r="W132" s="99">
        <v>0</v>
      </c>
      <c r="X132" s="142">
        <v>1</v>
      </c>
      <c r="Y132" s="142">
        <v>0.3</v>
      </c>
      <c r="Z132" s="142">
        <v>0</v>
      </c>
      <c r="AC132" s="99">
        <v>0</v>
      </c>
    </row>
    <row r="133" spans="1:29">
      <c r="A133" s="143" t="s">
        <v>92</v>
      </c>
      <c r="B133" s="143" t="s">
        <v>1613</v>
      </c>
      <c r="C133" s="143" t="s">
        <v>76</v>
      </c>
      <c r="D133" s="143" t="s">
        <v>1572</v>
      </c>
      <c r="E133" s="143" t="s">
        <v>1607</v>
      </c>
      <c r="F133" s="143" t="s">
        <v>1613</v>
      </c>
      <c r="M133" s="143" t="s">
        <v>1576</v>
      </c>
      <c r="N133" s="143" t="s">
        <v>1614</v>
      </c>
      <c r="O133" s="141">
        <v>45495</v>
      </c>
      <c r="P133" s="141">
        <v>45534</v>
      </c>
      <c r="Q133" s="141">
        <v>45529</v>
      </c>
      <c r="R133" s="141">
        <v>45535</v>
      </c>
      <c r="S133" s="271">
        <v>35</v>
      </c>
      <c r="T133" s="99">
        <v>9</v>
      </c>
      <c r="U133" s="99">
        <v>5</v>
      </c>
      <c r="V133" s="99">
        <v>0</v>
      </c>
      <c r="W133" s="99">
        <v>0</v>
      </c>
      <c r="X133" s="142">
        <v>1</v>
      </c>
      <c r="Y133" s="142">
        <v>0.3</v>
      </c>
      <c r="Z133" s="142">
        <v>0</v>
      </c>
      <c r="AC133" s="99">
        <v>0</v>
      </c>
    </row>
  </sheetData>
  <phoneticPr fontId="11"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AB109"/>
  <sheetViews>
    <sheetView zoomScale="85" zoomScaleNormal="85" workbookViewId="0">
      <pane ySplit="1" topLeftCell="A2" activePane="bottomLeft" state="frozen"/>
      <selection pane="bottomLeft" activeCell="C10" sqref="C10"/>
    </sheetView>
  </sheetViews>
  <sheetFormatPr defaultColWidth="10" defaultRowHeight="12.75"/>
  <cols>
    <col min="1" max="1" width="6.25" style="68" customWidth="1"/>
    <col min="2" max="2" width="33.25" style="68" bestFit="1" customWidth="1"/>
    <col min="3" max="3" width="20.25" style="67" customWidth="1"/>
    <col min="4" max="4" width="23.125" style="67" customWidth="1"/>
    <col min="5" max="5" width="10" style="67" customWidth="1"/>
    <col min="6" max="6" width="15.25" style="67" customWidth="1"/>
    <col min="7" max="7" width="21.25" style="67" bestFit="1" customWidth="1"/>
    <col min="8" max="8" width="40.375" style="68" customWidth="1"/>
    <col min="9" max="9" width="23.625" style="68" bestFit="1" customWidth="1"/>
    <col min="10" max="10" width="9.5" style="68" bestFit="1" customWidth="1"/>
    <col min="11" max="11" width="22.5" style="68" bestFit="1" customWidth="1"/>
    <col min="12" max="12" width="60.75" style="68" bestFit="1" customWidth="1"/>
    <col min="13" max="13" width="25.125" style="68" bestFit="1" customWidth="1"/>
    <col min="14" max="14" width="4.75" style="68" bestFit="1" customWidth="1"/>
    <col min="15" max="15" width="23" style="68" bestFit="1" customWidth="1"/>
    <col min="16" max="16" width="8" style="68" bestFit="1" customWidth="1"/>
    <col min="17" max="17" width="28.375" style="68" bestFit="1" customWidth="1"/>
    <col min="18" max="18" width="6" style="68" bestFit="1" customWidth="1"/>
    <col min="19" max="19" width="27.75" style="68" bestFit="1" customWidth="1"/>
    <col min="20" max="20" width="4.75" style="68" bestFit="1" customWidth="1"/>
    <col min="21" max="21" width="24.375" style="68" bestFit="1" customWidth="1"/>
    <col min="22" max="22" width="4.25" style="68" bestFit="1" customWidth="1"/>
    <col min="23" max="23" width="28.875" style="68" bestFit="1" customWidth="1"/>
    <col min="24" max="24" width="8" style="68" bestFit="1" customWidth="1"/>
    <col min="25" max="25" width="22.625" style="68" bestFit="1" customWidth="1"/>
    <col min="26" max="26" width="4.875" style="68" bestFit="1" customWidth="1"/>
    <col min="27" max="27" width="24.375" style="68" hidden="1" customWidth="1"/>
    <col min="28" max="28" width="7.375" style="68" hidden="1" customWidth="1"/>
    <col min="29" max="29" width="19.75" style="68" bestFit="1" customWidth="1"/>
    <col min="30" max="30" width="4.25" style="68" bestFit="1" customWidth="1"/>
    <col min="31" max="31" width="15.375" style="68" bestFit="1" customWidth="1"/>
    <col min="32" max="32" width="39.625" style="68" bestFit="1" customWidth="1"/>
    <col min="33" max="33" width="35.75" style="68" bestFit="1" customWidth="1"/>
    <col min="34" max="34" width="4.875" style="68" bestFit="1" customWidth="1"/>
    <col min="35" max="35" width="24.25" style="68" bestFit="1" customWidth="1"/>
    <col min="36" max="36" width="8.75" style="68" bestFit="1" customWidth="1"/>
    <col min="37" max="37" width="26" style="68" bestFit="1" customWidth="1"/>
    <col min="38" max="38" width="4.625" style="68" bestFit="1" customWidth="1"/>
    <col min="39" max="39" width="35.625" style="68" bestFit="1" customWidth="1"/>
    <col min="40" max="40" width="33.375" style="68" bestFit="1" customWidth="1"/>
    <col min="41" max="41" width="22.625" style="68" bestFit="1" customWidth="1"/>
    <col min="42" max="42" width="5.25" style="68" bestFit="1" customWidth="1"/>
    <col min="43" max="43" width="16.625" style="68" bestFit="1" customWidth="1"/>
    <col min="44" max="44" width="93.375" style="68" bestFit="1" customWidth="1"/>
    <col min="45" max="45" width="21" style="68" bestFit="1" customWidth="1"/>
    <col min="46" max="46" width="5.5" style="68" bestFit="1" customWidth="1"/>
    <col min="47" max="47" width="14.875" style="68" bestFit="1" customWidth="1"/>
    <col min="48" max="48" width="28.625" style="68" bestFit="1" customWidth="1"/>
    <col min="49" max="49" width="22.625" style="68" bestFit="1" customWidth="1"/>
    <col min="50" max="50" width="4.875" style="68" bestFit="1" customWidth="1"/>
    <col min="51" max="51" width="15.625" style="68" bestFit="1" customWidth="1"/>
    <col min="52" max="53" width="13.125" style="68" bestFit="1" customWidth="1"/>
    <col min="54" max="55" width="14.875" style="68" bestFit="1" customWidth="1"/>
    <col min="56" max="57" width="22.625" style="68" bestFit="1" customWidth="1"/>
    <col min="58" max="59" width="15.625" style="68" bestFit="1" customWidth="1"/>
    <col min="60" max="61" width="13.125" style="68" bestFit="1" customWidth="1"/>
    <col min="62" max="63" width="14.875" style="68" bestFit="1" customWidth="1"/>
    <col min="64" max="65" width="22.625" style="68" bestFit="1" customWidth="1"/>
    <col min="66" max="66" width="10" style="68"/>
    <col min="67" max="67" width="33.75" style="68" bestFit="1" customWidth="1"/>
    <col min="68" max="16384" width="10" style="68"/>
  </cols>
  <sheetData>
    <row r="1" spans="1:8" s="67" customFormat="1">
      <c r="A1" s="66" t="s">
        <v>1352</v>
      </c>
      <c r="B1" s="66" t="s">
        <v>1353</v>
      </c>
      <c r="C1" s="66" t="s">
        <v>1354</v>
      </c>
      <c r="D1" s="66" t="s">
        <v>1355</v>
      </c>
      <c r="E1" s="66" t="s">
        <v>1356</v>
      </c>
      <c r="F1" s="66" t="s">
        <v>1357</v>
      </c>
      <c r="G1" s="66" t="s">
        <v>1358</v>
      </c>
      <c r="H1" s="66" t="s">
        <v>1359</v>
      </c>
    </row>
    <row r="2" spans="1:8">
      <c r="A2" s="111" t="s">
        <v>1360</v>
      </c>
      <c r="B2" s="111" t="s">
        <v>1361</v>
      </c>
      <c r="C2" s="112" t="s">
        <v>1362</v>
      </c>
      <c r="D2" s="112"/>
      <c r="E2" s="112"/>
      <c r="F2" s="112"/>
      <c r="G2" s="112"/>
      <c r="H2" s="112" t="s">
        <v>1363</v>
      </c>
    </row>
    <row r="3" spans="1:8">
      <c r="A3" s="111" t="s">
        <v>1360</v>
      </c>
      <c r="B3" s="111" t="s">
        <v>1364</v>
      </c>
      <c r="C3" s="112" t="s">
        <v>1362</v>
      </c>
      <c r="D3" s="112"/>
      <c r="E3" s="112"/>
      <c r="F3" s="112"/>
      <c r="G3" s="112"/>
      <c r="H3" s="112" t="s">
        <v>1363</v>
      </c>
    </row>
    <row r="4" spans="1:8">
      <c r="A4" s="111" t="s">
        <v>1360</v>
      </c>
      <c r="B4" s="111" t="s">
        <v>1365</v>
      </c>
      <c r="C4" s="127" t="s">
        <v>1366</v>
      </c>
      <c r="D4" s="112"/>
      <c r="E4" s="112"/>
      <c r="F4" s="112"/>
      <c r="G4" s="112"/>
      <c r="H4" s="112" t="s">
        <v>1363</v>
      </c>
    </row>
    <row r="5" spans="1:8">
      <c r="A5" s="111" t="s">
        <v>1360</v>
      </c>
      <c r="B5" s="111" t="s">
        <v>1367</v>
      </c>
      <c r="C5" s="112" t="s">
        <v>1368</v>
      </c>
      <c r="D5" s="112"/>
      <c r="E5" s="112"/>
      <c r="F5" s="112"/>
      <c r="G5" s="112"/>
      <c r="H5" s="112" t="s">
        <v>1363</v>
      </c>
    </row>
    <row r="6" spans="1:8" ht="13.5">
      <c r="A6" s="111" t="s">
        <v>1360</v>
      </c>
      <c r="B6" s="111" t="s">
        <v>1369</v>
      </c>
      <c r="C6" s="128" t="s">
        <v>1370</v>
      </c>
      <c r="D6" s="112"/>
      <c r="E6" s="112"/>
      <c r="F6" s="112"/>
      <c r="G6" s="112"/>
      <c r="H6" s="112" t="s">
        <v>1363</v>
      </c>
    </row>
    <row r="7" spans="1:8">
      <c r="A7" s="111" t="s">
        <v>1360</v>
      </c>
      <c r="B7" s="111" t="s">
        <v>1371</v>
      </c>
      <c r="C7" s="111" t="s">
        <v>1362</v>
      </c>
      <c r="D7" s="112"/>
      <c r="E7" s="112"/>
      <c r="F7" s="112"/>
      <c r="G7" s="112"/>
      <c r="H7" s="112" t="s">
        <v>1363</v>
      </c>
    </row>
    <row r="8" spans="1:8">
      <c r="A8" s="130" t="s">
        <v>1360</v>
      </c>
      <c r="B8" s="130" t="s">
        <v>1372</v>
      </c>
      <c r="C8" s="131" t="s">
        <v>1373</v>
      </c>
      <c r="D8" s="132" t="s">
        <v>1374</v>
      </c>
      <c r="E8" s="132">
        <v>82</v>
      </c>
      <c r="F8" s="132"/>
      <c r="G8" s="130"/>
      <c r="H8" s="132" t="s">
        <v>1375</v>
      </c>
    </row>
    <row r="9" spans="1:8">
      <c r="A9" s="111" t="s">
        <v>1360</v>
      </c>
      <c r="B9" s="111" t="s">
        <v>1376</v>
      </c>
      <c r="C9" s="129">
        <v>44717</v>
      </c>
      <c r="D9" s="112"/>
      <c r="E9" s="112"/>
      <c r="F9" s="112"/>
      <c r="G9" s="112"/>
      <c r="H9" s="112" t="s">
        <v>1363</v>
      </c>
    </row>
    <row r="10" spans="1:8">
      <c r="A10" s="111" t="s">
        <v>1360</v>
      </c>
      <c r="B10" s="111" t="s">
        <v>1377</v>
      </c>
      <c r="C10" s="112" t="s">
        <v>1378</v>
      </c>
      <c r="D10" s="112"/>
      <c r="E10" s="112"/>
      <c r="F10" s="112"/>
      <c r="G10" s="112"/>
      <c r="H10" s="112" t="s">
        <v>1363</v>
      </c>
    </row>
    <row r="11" spans="1:8">
      <c r="A11" s="68" t="s">
        <v>1379</v>
      </c>
      <c r="B11" s="68" t="s">
        <v>1380</v>
      </c>
      <c r="C11" s="67">
        <v>1</v>
      </c>
      <c r="G11" s="70">
        <v>45502.382199074076</v>
      </c>
    </row>
    <row r="12" spans="1:8">
      <c r="A12" s="68" t="s">
        <v>1379</v>
      </c>
      <c r="B12" s="68" t="s">
        <v>1381</v>
      </c>
      <c r="C12" s="67">
        <v>1</v>
      </c>
    </row>
    <row r="13" spans="1:8">
      <c r="A13" s="68" t="s">
        <v>1379</v>
      </c>
      <c r="B13" s="68" t="s">
        <v>1382</v>
      </c>
      <c r="C13" s="67">
        <v>1</v>
      </c>
      <c r="G13" s="70">
        <v>45502.382199074076</v>
      </c>
    </row>
    <row r="14" spans="1:8">
      <c r="A14" s="68" t="s">
        <v>1379</v>
      </c>
      <c r="B14" s="68" t="s">
        <v>1383</v>
      </c>
      <c r="C14" s="67">
        <v>0</v>
      </c>
      <c r="G14" s="70">
        <v>45502.382199074076</v>
      </c>
    </row>
    <row r="15" spans="1:8">
      <c r="A15" s="68" t="s">
        <v>1379</v>
      </c>
      <c r="B15" s="68" t="s">
        <v>1384</v>
      </c>
      <c r="C15" s="67">
        <v>1</v>
      </c>
      <c r="G15" s="70">
        <v>45502.382199074076</v>
      </c>
    </row>
    <row r="16" spans="1:8">
      <c r="A16" s="68" t="s">
        <v>1379</v>
      </c>
      <c r="B16" s="68" t="s">
        <v>1385</v>
      </c>
      <c r="C16" s="67">
        <v>1</v>
      </c>
      <c r="G16" s="70">
        <v>45502.382199074076</v>
      </c>
    </row>
    <row r="17" spans="1:7">
      <c r="A17" s="68" t="s">
        <v>1379</v>
      </c>
      <c r="B17" s="68" t="s">
        <v>1386</v>
      </c>
      <c r="C17" s="67">
        <v>1</v>
      </c>
      <c r="G17" s="70">
        <v>45502.382199074076</v>
      </c>
    </row>
    <row r="18" spans="1:7">
      <c r="A18" s="68" t="s">
        <v>1379</v>
      </c>
      <c r="B18" s="68" t="s">
        <v>1387</v>
      </c>
      <c r="C18" s="67">
        <v>1</v>
      </c>
      <c r="G18" s="70">
        <v>45502.382199074076</v>
      </c>
    </row>
    <row r="19" spans="1:7">
      <c r="A19" s="68" t="s">
        <v>1379</v>
      </c>
      <c r="B19" s="68" t="s">
        <v>1388</v>
      </c>
      <c r="C19" s="69">
        <v>45505</v>
      </c>
      <c r="G19" s="70">
        <v>45502.382199074076</v>
      </c>
    </row>
    <row r="20" spans="1:7">
      <c r="A20" s="68" t="s">
        <v>1379</v>
      </c>
      <c r="B20" s="68" t="s">
        <v>1389</v>
      </c>
      <c r="C20" s="67">
        <v>0</v>
      </c>
      <c r="G20" s="70">
        <v>45502.382199074076</v>
      </c>
    </row>
    <row r="21" spans="1:7">
      <c r="A21" s="68" t="s">
        <v>1379</v>
      </c>
      <c r="B21" s="68" t="s">
        <v>1390</v>
      </c>
      <c r="C21" s="67">
        <v>0</v>
      </c>
      <c r="G21" s="70">
        <v>45502.382199074076</v>
      </c>
    </row>
    <row r="22" spans="1:7">
      <c r="A22" s="68" t="s">
        <v>1379</v>
      </c>
      <c r="B22" s="68" t="s">
        <v>1391</v>
      </c>
      <c r="C22" s="67">
        <v>1</v>
      </c>
      <c r="G22" s="70">
        <v>45502.382199074076</v>
      </c>
    </row>
    <row r="23" spans="1:7">
      <c r="A23" s="68" t="s">
        <v>1379</v>
      </c>
      <c r="B23" s="68" t="s">
        <v>1392</v>
      </c>
      <c r="C23" s="67">
        <v>1</v>
      </c>
      <c r="G23" s="70">
        <v>45502.382199074076</v>
      </c>
    </row>
    <row r="24" spans="1:7">
      <c r="A24" s="68" t="s">
        <v>1379</v>
      </c>
      <c r="B24" s="68" t="s">
        <v>1393</v>
      </c>
      <c r="C24" s="69">
        <v>45548</v>
      </c>
      <c r="G24" s="70">
        <v>45502.476921296293</v>
      </c>
    </row>
    <row r="25" spans="1:7">
      <c r="A25" s="68" t="s">
        <v>1379</v>
      </c>
      <c r="B25" s="68" t="s">
        <v>1394</v>
      </c>
      <c r="C25" s="67" t="s">
        <v>1395</v>
      </c>
      <c r="G25" s="70">
        <v>45502.382199074076</v>
      </c>
    </row>
    <row r="26" spans="1:7">
      <c r="A26" s="68" t="s">
        <v>1379</v>
      </c>
      <c r="B26" s="68" t="s">
        <v>1396</v>
      </c>
      <c r="C26" s="69">
        <v>45474</v>
      </c>
      <c r="G26" s="70">
        <v>45502.476921296293</v>
      </c>
    </row>
    <row r="27" spans="1:7">
      <c r="A27" s="68" t="s">
        <v>1379</v>
      </c>
      <c r="B27" s="68" t="s">
        <v>1397</v>
      </c>
      <c r="C27" s="67" t="s">
        <v>1398</v>
      </c>
      <c r="G27" s="70">
        <v>45502.453692129631</v>
      </c>
    </row>
    <row r="28" spans="1:7">
      <c r="A28" s="68" t="s">
        <v>1379</v>
      </c>
      <c r="B28" s="68" t="s">
        <v>1399</v>
      </c>
      <c r="C28" s="67">
        <v>1</v>
      </c>
      <c r="G28" s="70">
        <v>45502.382199074076</v>
      </c>
    </row>
    <row r="29" spans="1:7">
      <c r="A29" s="68" t="s">
        <v>1379</v>
      </c>
      <c r="B29" s="68" t="s">
        <v>1400</v>
      </c>
      <c r="C29" s="67">
        <v>20</v>
      </c>
      <c r="G29" s="70">
        <v>45502.382199074076</v>
      </c>
    </row>
    <row r="30" spans="1:7">
      <c r="A30" s="68" t="s">
        <v>1379</v>
      </c>
      <c r="B30" s="68" t="s">
        <v>1401</v>
      </c>
      <c r="C30" s="67">
        <v>10</v>
      </c>
      <c r="G30" s="70">
        <v>45502.382199074076</v>
      </c>
    </row>
    <row r="31" spans="1:7">
      <c r="A31" s="68" t="s">
        <v>1402</v>
      </c>
      <c r="B31" s="68" t="s">
        <v>1403</v>
      </c>
      <c r="C31" s="67">
        <v>-4105</v>
      </c>
      <c r="F31" s="70"/>
      <c r="G31" s="70">
        <v>45502.476921296293</v>
      </c>
    </row>
    <row r="32" spans="1:7">
      <c r="A32" s="68" t="s">
        <v>1404</v>
      </c>
      <c r="B32" s="68" t="s">
        <v>1405</v>
      </c>
      <c r="C32" s="67">
        <v>1</v>
      </c>
      <c r="G32" s="70">
        <v>45502.382199074076</v>
      </c>
    </row>
    <row r="33" spans="1:7">
      <c r="A33" s="68" t="s">
        <v>1404</v>
      </c>
      <c r="B33" s="68" t="s">
        <v>1406</v>
      </c>
      <c r="C33" s="67">
        <v>0</v>
      </c>
    </row>
    <row r="34" spans="1:7">
      <c r="A34" s="68" t="s">
        <v>1404</v>
      </c>
      <c r="B34" s="68" t="s">
        <v>1407</v>
      </c>
      <c r="C34" s="67">
        <v>1</v>
      </c>
      <c r="G34" s="70">
        <v>45502.382199074076</v>
      </c>
    </row>
    <row r="35" spans="1:7">
      <c r="A35" s="68" t="s">
        <v>1404</v>
      </c>
      <c r="B35" s="68" t="s">
        <v>1408</v>
      </c>
      <c r="C35" s="67">
        <v>1</v>
      </c>
      <c r="G35" s="70">
        <v>45502.382199074076</v>
      </c>
    </row>
    <row r="36" spans="1:7">
      <c r="A36" s="68" t="s">
        <v>1404</v>
      </c>
      <c r="B36" s="68" t="s">
        <v>1409</v>
      </c>
      <c r="C36" s="67">
        <v>1</v>
      </c>
      <c r="G36" s="70">
        <v>45502.382199074076</v>
      </c>
    </row>
    <row r="37" spans="1:7">
      <c r="A37" s="68" t="s">
        <v>1404</v>
      </c>
      <c r="B37" s="68" t="s">
        <v>1410</v>
      </c>
      <c r="C37" s="67">
        <v>0</v>
      </c>
      <c r="G37" s="70">
        <v>45502.382199074076</v>
      </c>
    </row>
    <row r="38" spans="1:7">
      <c r="A38" s="68" t="s">
        <v>1404</v>
      </c>
      <c r="B38" s="68" t="s">
        <v>1411</v>
      </c>
      <c r="C38" s="67">
        <v>1</v>
      </c>
      <c r="G38" s="70">
        <v>45502.382199074076</v>
      </c>
    </row>
    <row r="39" spans="1:7">
      <c r="A39" s="68" t="s">
        <v>1404</v>
      </c>
      <c r="B39" s="68" t="s">
        <v>1412</v>
      </c>
      <c r="C39" s="67">
        <v>2</v>
      </c>
      <c r="G39" s="70">
        <v>45502.382199074076</v>
      </c>
    </row>
    <row r="40" spans="1:7">
      <c r="A40" s="68" t="s">
        <v>1404</v>
      </c>
      <c r="B40" s="68" t="s">
        <v>1413</v>
      </c>
      <c r="C40" s="67">
        <v>0.7</v>
      </c>
    </row>
    <row r="41" spans="1:7">
      <c r="A41" s="68" t="s">
        <v>1404</v>
      </c>
      <c r="B41" s="68" t="s">
        <v>1414</v>
      </c>
      <c r="C41" s="67">
        <v>1</v>
      </c>
      <c r="G41" s="70">
        <v>45502.382199074076</v>
      </c>
    </row>
    <row r="42" spans="1:7">
      <c r="A42" s="68" t="s">
        <v>1404</v>
      </c>
      <c r="B42" s="68" t="s">
        <v>1415</v>
      </c>
      <c r="C42" s="67">
        <v>1</v>
      </c>
      <c r="G42" s="70">
        <v>45502.382199074076</v>
      </c>
    </row>
    <row r="43" spans="1:7">
      <c r="A43" s="68" t="s">
        <v>1404</v>
      </c>
      <c r="B43" s="68" t="s">
        <v>1416</v>
      </c>
      <c r="C43" s="67">
        <v>-4131</v>
      </c>
      <c r="G43" s="70">
        <v>45502.382199074076</v>
      </c>
    </row>
    <row r="44" spans="1:7">
      <c r="A44" s="68" t="s">
        <v>1404</v>
      </c>
      <c r="B44" s="68" t="s">
        <v>1417</v>
      </c>
      <c r="C44" s="67">
        <v>7</v>
      </c>
      <c r="G44" s="70">
        <v>45502.382199074076</v>
      </c>
    </row>
    <row r="45" spans="1:7">
      <c r="A45" s="68" t="s">
        <v>1404</v>
      </c>
      <c r="B45" s="68" t="s">
        <v>1418</v>
      </c>
      <c r="C45" s="67">
        <v>0</v>
      </c>
      <c r="G45" s="70">
        <v>45502.382199074076</v>
      </c>
    </row>
    <row r="46" spans="1:7">
      <c r="A46" s="68" t="s">
        <v>1404</v>
      </c>
      <c r="B46" s="68" t="s">
        <v>1419</v>
      </c>
      <c r="C46" s="67">
        <v>1</v>
      </c>
      <c r="G46" s="70">
        <v>45502.382199074076</v>
      </c>
    </row>
    <row r="47" spans="1:7">
      <c r="A47" s="68" t="s">
        <v>1404</v>
      </c>
      <c r="B47" s="68" t="s">
        <v>1420</v>
      </c>
      <c r="C47" s="67">
        <v>1</v>
      </c>
      <c r="G47" s="70">
        <v>45502.382199074076</v>
      </c>
    </row>
    <row r="48" spans="1:7">
      <c r="A48" s="68" t="s">
        <v>1404</v>
      </c>
      <c r="B48" s="68" t="s">
        <v>1421</v>
      </c>
      <c r="C48" s="67">
        <v>1</v>
      </c>
    </row>
    <row r="49" spans="1:7">
      <c r="A49" s="68" t="s">
        <v>1404</v>
      </c>
      <c r="B49" s="68" t="s">
        <v>1422</v>
      </c>
      <c r="C49" s="67">
        <v>0</v>
      </c>
    </row>
    <row r="50" spans="1:7">
      <c r="A50" s="68" t="s">
        <v>1404</v>
      </c>
      <c r="B50" s="68" t="s">
        <v>1423</v>
      </c>
      <c r="C50" s="67">
        <v>2</v>
      </c>
      <c r="G50" s="70">
        <v>45502.382199074076</v>
      </c>
    </row>
    <row r="51" spans="1:7">
      <c r="A51" s="68" t="s">
        <v>1404</v>
      </c>
      <c r="B51" s="68" t="s">
        <v>1424</v>
      </c>
      <c r="C51" s="67" t="s">
        <v>1425</v>
      </c>
    </row>
    <row r="52" spans="1:7">
      <c r="A52" s="68" t="s">
        <v>1404</v>
      </c>
      <c r="B52" s="68" t="s">
        <v>1426</v>
      </c>
      <c r="C52" s="67">
        <v>100</v>
      </c>
      <c r="G52" s="70">
        <v>45502.382199074076</v>
      </c>
    </row>
    <row r="53" spans="1:7">
      <c r="A53" s="68" t="s">
        <v>1404</v>
      </c>
      <c r="B53" s="68" t="s">
        <v>1427</v>
      </c>
      <c r="C53" s="67">
        <v>9</v>
      </c>
    </row>
    <row r="54" spans="1:7">
      <c r="A54" s="68" t="s">
        <v>1428</v>
      </c>
      <c r="B54" s="68" t="s">
        <v>1429</v>
      </c>
      <c r="C54" s="67">
        <v>1</v>
      </c>
      <c r="G54" s="70">
        <v>45502.382199074076</v>
      </c>
    </row>
    <row r="55" spans="1:7">
      <c r="A55" s="68" t="s">
        <v>1428</v>
      </c>
      <c r="B55" s="68" t="s">
        <v>1430</v>
      </c>
      <c r="C55" s="67" t="s">
        <v>1431</v>
      </c>
      <c r="G55" s="70">
        <v>45502.382199074076</v>
      </c>
    </row>
    <row r="56" spans="1:7">
      <c r="A56" s="68" t="s">
        <v>1428</v>
      </c>
      <c r="B56" s="68" t="s">
        <v>1432</v>
      </c>
      <c r="C56" s="67" t="s">
        <v>1433</v>
      </c>
      <c r="G56" s="70">
        <v>44717.947500000002</v>
      </c>
    </row>
    <row r="57" spans="1:7">
      <c r="A57" s="68" t="s">
        <v>1428</v>
      </c>
      <c r="B57" s="68" t="s">
        <v>1434</v>
      </c>
      <c r="C57" s="67" t="s">
        <v>1433</v>
      </c>
      <c r="G57" s="70">
        <v>45502.382199074076</v>
      </c>
    </row>
    <row r="58" spans="1:7">
      <c r="A58" s="68" t="s">
        <v>1435</v>
      </c>
      <c r="B58" s="68" t="s">
        <v>1436</v>
      </c>
      <c r="C58" s="67">
        <v>82</v>
      </c>
      <c r="G58" s="70">
        <v>45502.382199074076</v>
      </c>
    </row>
    <row r="59" spans="1:7">
      <c r="A59" s="68" t="s">
        <v>1435</v>
      </c>
      <c r="B59" s="68" t="s">
        <v>1437</v>
      </c>
      <c r="C59" s="67">
        <v>1</v>
      </c>
      <c r="G59" s="70">
        <v>45502.382199074076</v>
      </c>
    </row>
    <row r="60" spans="1:7">
      <c r="A60" s="68" t="s">
        <v>1435</v>
      </c>
      <c r="B60" s="68" t="s">
        <v>1438</v>
      </c>
      <c r="C60" s="67">
        <v>82</v>
      </c>
      <c r="G60" s="70">
        <v>44717.85429398148</v>
      </c>
    </row>
    <row r="61" spans="1:7">
      <c r="A61" s="68" t="s">
        <v>1435</v>
      </c>
      <c r="B61" s="68" t="s">
        <v>1439</v>
      </c>
      <c r="C61" s="67" t="s">
        <v>1440</v>
      </c>
      <c r="G61" s="70">
        <v>45502.382199074076</v>
      </c>
    </row>
    <row r="62" spans="1:7">
      <c r="A62" s="68" t="s">
        <v>1441</v>
      </c>
      <c r="B62" s="68" t="s">
        <v>1442</v>
      </c>
      <c r="C62" s="67" t="b">
        <v>0</v>
      </c>
      <c r="G62" s="70">
        <v>45502.382199074076</v>
      </c>
    </row>
    <row r="63" spans="1:7">
      <c r="A63" s="68" t="s">
        <v>1441</v>
      </c>
      <c r="B63" s="68" t="s">
        <v>1443</v>
      </c>
      <c r="C63" s="67" t="b">
        <v>0</v>
      </c>
      <c r="G63" s="70">
        <v>45502.382199074076</v>
      </c>
    </row>
    <row r="64" spans="1:7">
      <c r="A64" s="68" t="s">
        <v>1441</v>
      </c>
      <c r="B64" s="68" t="s">
        <v>1444</v>
      </c>
      <c r="C64" s="67" t="b">
        <v>1</v>
      </c>
      <c r="G64" s="70">
        <v>45502.382199074076</v>
      </c>
    </row>
    <row r="65" spans="1:7">
      <c r="A65" s="68" t="s">
        <v>1441</v>
      </c>
      <c r="B65" s="68" t="s">
        <v>1445</v>
      </c>
      <c r="C65" s="67" t="b">
        <v>1</v>
      </c>
      <c r="G65" s="70">
        <v>45502.382199074076</v>
      </c>
    </row>
    <row r="66" spans="1:7">
      <c r="A66" s="68" t="s">
        <v>1441</v>
      </c>
      <c r="B66" s="68" t="s">
        <v>1446</v>
      </c>
      <c r="C66" s="67" t="b">
        <v>1</v>
      </c>
      <c r="G66" s="70">
        <v>45502.382199074076</v>
      </c>
    </row>
    <row r="67" spans="1:7">
      <c r="A67" s="68" t="s">
        <v>1441</v>
      </c>
      <c r="B67" s="68" t="s">
        <v>1447</v>
      </c>
      <c r="C67" s="67" t="b">
        <v>1</v>
      </c>
      <c r="G67" s="70">
        <v>45502.382199074076</v>
      </c>
    </row>
    <row r="68" spans="1:7">
      <c r="A68" s="68" t="s">
        <v>1441</v>
      </c>
      <c r="B68" s="68" t="s">
        <v>1448</v>
      </c>
      <c r="C68" s="67" t="b">
        <v>1</v>
      </c>
      <c r="G68" s="70">
        <v>45502.382199074076</v>
      </c>
    </row>
    <row r="69" spans="1:7">
      <c r="A69" s="68" t="s">
        <v>1441</v>
      </c>
      <c r="B69" s="68" t="s">
        <v>1449</v>
      </c>
      <c r="G69" s="70">
        <v>45502.382199074076</v>
      </c>
    </row>
    <row r="70" spans="1:7">
      <c r="A70" s="68" t="s">
        <v>1441</v>
      </c>
      <c r="B70" s="68" t="s">
        <v>1450</v>
      </c>
      <c r="C70" s="67" t="s">
        <v>1451</v>
      </c>
      <c r="G70" s="70">
        <v>45502.382199074076</v>
      </c>
    </row>
    <row r="71" spans="1:7">
      <c r="A71" s="68" t="s">
        <v>1441</v>
      </c>
      <c r="B71" s="68" t="s">
        <v>1452</v>
      </c>
      <c r="C71" s="67" t="s">
        <v>1453</v>
      </c>
      <c r="G71" s="70">
        <v>45502.382199074076</v>
      </c>
    </row>
    <row r="72" spans="1:7">
      <c r="A72" s="68" t="s">
        <v>1441</v>
      </c>
      <c r="B72" s="68" t="s">
        <v>1454</v>
      </c>
      <c r="C72" s="67" t="s">
        <v>1455</v>
      </c>
      <c r="G72" s="70">
        <v>45502.382199074076</v>
      </c>
    </row>
    <row r="73" spans="1:7">
      <c r="A73" s="68" t="s">
        <v>1441</v>
      </c>
      <c r="B73" s="68" t="s">
        <v>1456</v>
      </c>
      <c r="C73" s="67" t="s">
        <v>1457</v>
      </c>
      <c r="G73" s="70">
        <v>45502.382199074076</v>
      </c>
    </row>
    <row r="74" spans="1:7">
      <c r="A74" s="68" t="s">
        <v>1441</v>
      </c>
      <c r="B74" s="68" t="s">
        <v>1458</v>
      </c>
      <c r="C74" s="67" t="s">
        <v>1459</v>
      </c>
      <c r="G74" s="70">
        <v>45502.382199074076</v>
      </c>
    </row>
    <row r="75" spans="1:7">
      <c r="A75" s="68" t="s">
        <v>1441</v>
      </c>
      <c r="B75" s="68" t="s">
        <v>1460</v>
      </c>
      <c r="C75" s="67" t="s">
        <v>1461</v>
      </c>
      <c r="G75" s="70">
        <v>45502.382199074076</v>
      </c>
    </row>
    <row r="76" spans="1:7">
      <c r="A76" s="68" t="s">
        <v>1441</v>
      </c>
      <c r="B76" s="68" t="s">
        <v>1462</v>
      </c>
      <c r="C76" s="67" t="s">
        <v>1463</v>
      </c>
      <c r="G76" s="70">
        <v>45502.382199074076</v>
      </c>
    </row>
    <row r="77" spans="1:7">
      <c r="A77" s="68" t="s">
        <v>1441</v>
      </c>
      <c r="B77" s="68" t="s">
        <v>1464</v>
      </c>
      <c r="G77" s="70">
        <v>45502.382199074076</v>
      </c>
    </row>
    <row r="78" spans="1:7">
      <c r="A78" s="68" t="s">
        <v>1441</v>
      </c>
      <c r="B78" s="68" t="s">
        <v>1465</v>
      </c>
      <c r="C78" s="67" t="s">
        <v>1466</v>
      </c>
      <c r="G78" s="70">
        <v>45502.382199074076</v>
      </c>
    </row>
    <row r="79" spans="1:7">
      <c r="A79" s="68" t="s">
        <v>1441</v>
      </c>
      <c r="B79" s="68" t="s">
        <v>1467</v>
      </c>
      <c r="C79" s="67" t="s">
        <v>1468</v>
      </c>
      <c r="G79" s="70">
        <v>45502.382199074076</v>
      </c>
    </row>
    <row r="80" spans="1:7">
      <c r="A80" s="68" t="s">
        <v>1441</v>
      </c>
      <c r="B80" s="68" t="s">
        <v>1469</v>
      </c>
      <c r="C80" s="67" t="s">
        <v>1470</v>
      </c>
      <c r="G80" s="70">
        <v>45502.382199074076</v>
      </c>
    </row>
    <row r="81" spans="1:7">
      <c r="A81" s="68" t="s">
        <v>1441</v>
      </c>
      <c r="B81" s="68" t="s">
        <v>1471</v>
      </c>
      <c r="C81" s="67" t="s">
        <v>1472</v>
      </c>
      <c r="G81" s="70">
        <v>45502.382199074076</v>
      </c>
    </row>
    <row r="82" spans="1:7">
      <c r="A82" s="68" t="s">
        <v>1441</v>
      </c>
      <c r="B82" s="68" t="s">
        <v>1473</v>
      </c>
      <c r="C82" s="67" t="s">
        <v>1474</v>
      </c>
      <c r="G82" s="70">
        <v>45502.382199074076</v>
      </c>
    </row>
    <row r="83" spans="1:7">
      <c r="A83" s="68" t="s">
        <v>1441</v>
      </c>
      <c r="B83" s="68" t="s">
        <v>1475</v>
      </c>
      <c r="C83" s="67" t="s">
        <v>1476</v>
      </c>
      <c r="G83" s="70">
        <v>45502.382199074076</v>
      </c>
    </row>
    <row r="84" spans="1:7">
      <c r="A84" s="68" t="s">
        <v>1441</v>
      </c>
      <c r="B84" s="68" t="s">
        <v>1477</v>
      </c>
      <c r="C84" s="67" t="s">
        <v>1478</v>
      </c>
      <c r="G84" s="70">
        <v>45502.382199074076</v>
      </c>
    </row>
    <row r="85" spans="1:7">
      <c r="A85" s="68" t="s">
        <v>1441</v>
      </c>
      <c r="B85" s="68" t="s">
        <v>1479</v>
      </c>
      <c r="G85" s="70">
        <v>45502.382199074076</v>
      </c>
    </row>
    <row r="86" spans="1:7">
      <c r="A86" s="68" t="s">
        <v>1441</v>
      </c>
      <c r="B86" s="68" t="s">
        <v>1480</v>
      </c>
      <c r="C86" s="67" t="s">
        <v>1481</v>
      </c>
      <c r="G86" s="70">
        <v>45502.382199074076</v>
      </c>
    </row>
    <row r="87" spans="1:7">
      <c r="A87" s="68" t="s">
        <v>1441</v>
      </c>
      <c r="B87" s="68" t="s">
        <v>1482</v>
      </c>
      <c r="C87" s="67" t="s">
        <v>1481</v>
      </c>
      <c r="G87" s="70">
        <v>45502.382199074076</v>
      </c>
    </row>
    <row r="88" spans="1:7">
      <c r="A88" s="68" t="s">
        <v>1441</v>
      </c>
      <c r="B88" s="68" t="s">
        <v>1483</v>
      </c>
      <c r="C88" s="67" t="s">
        <v>1481</v>
      </c>
      <c r="G88" s="70">
        <v>45502.382199074076</v>
      </c>
    </row>
    <row r="89" spans="1:7">
      <c r="A89" s="68" t="s">
        <v>1441</v>
      </c>
      <c r="B89" s="68" t="s">
        <v>1484</v>
      </c>
      <c r="C89" s="67" t="s">
        <v>1485</v>
      </c>
      <c r="G89" s="70">
        <v>45502.382199074076</v>
      </c>
    </row>
    <row r="90" spans="1:7">
      <c r="A90" s="68" t="s">
        <v>1441</v>
      </c>
      <c r="B90" s="68" t="s">
        <v>1486</v>
      </c>
      <c r="C90" s="67" t="s">
        <v>1487</v>
      </c>
      <c r="G90" s="70">
        <v>45502.382199074076</v>
      </c>
    </row>
    <row r="91" spans="1:7">
      <c r="A91" s="68" t="s">
        <v>1441</v>
      </c>
      <c r="B91" s="68" t="s">
        <v>1488</v>
      </c>
      <c r="C91" s="67" t="s">
        <v>1489</v>
      </c>
      <c r="G91" s="70">
        <v>45502.382199074076</v>
      </c>
    </row>
    <row r="92" spans="1:7">
      <c r="A92" s="68" t="s">
        <v>1441</v>
      </c>
      <c r="B92" s="68" t="s">
        <v>1490</v>
      </c>
      <c r="C92" s="67" t="s">
        <v>1491</v>
      </c>
      <c r="G92" s="70">
        <v>45502.382199074076</v>
      </c>
    </row>
    <row r="93" spans="1:7">
      <c r="A93" s="68" t="s">
        <v>1441</v>
      </c>
      <c r="B93" s="68" t="s">
        <v>1492</v>
      </c>
      <c r="G93" s="70">
        <v>45502.382199074076</v>
      </c>
    </row>
    <row r="94" spans="1:7">
      <c r="A94" s="68" t="s">
        <v>1493</v>
      </c>
      <c r="B94" s="68" t="s">
        <v>1494</v>
      </c>
      <c r="C94" s="67" t="b">
        <v>1</v>
      </c>
      <c r="F94" s="70"/>
      <c r="G94" s="70">
        <v>44717.850543981483</v>
      </c>
    </row>
    <row r="95" spans="1:7">
      <c r="A95" s="68" t="s">
        <v>1493</v>
      </c>
      <c r="B95" s="68" t="s">
        <v>1495</v>
      </c>
      <c r="C95" s="67" t="b">
        <v>1</v>
      </c>
      <c r="F95" s="70"/>
      <c r="G95" s="70">
        <v>44717.850543981483</v>
      </c>
    </row>
    <row r="96" spans="1:7">
      <c r="A96" s="68" t="s">
        <v>1493</v>
      </c>
      <c r="B96" s="68" t="s">
        <v>1496</v>
      </c>
      <c r="C96" s="67" t="b">
        <v>0</v>
      </c>
      <c r="F96" s="70"/>
      <c r="G96" s="70">
        <v>44717.850543981483</v>
      </c>
    </row>
    <row r="97" spans="1:7">
      <c r="A97" s="68" t="s">
        <v>1493</v>
      </c>
      <c r="B97" s="68" t="s">
        <v>1497</v>
      </c>
      <c r="C97" s="67" t="b">
        <v>0</v>
      </c>
      <c r="F97" s="70"/>
      <c r="G97" s="70">
        <v>44717.850543981483</v>
      </c>
    </row>
    <row r="98" spans="1:7">
      <c r="A98" s="68" t="s">
        <v>1493</v>
      </c>
      <c r="B98" s="68" t="s">
        <v>1498</v>
      </c>
      <c r="C98" s="67" t="b">
        <v>0</v>
      </c>
      <c r="F98" s="70"/>
      <c r="G98" s="70">
        <v>44717.850543981483</v>
      </c>
    </row>
    <row r="99" spans="1:7">
      <c r="A99" s="68" t="s">
        <v>1493</v>
      </c>
      <c r="B99" s="68" t="s">
        <v>1499</v>
      </c>
      <c r="C99" s="67" t="b">
        <v>1</v>
      </c>
      <c r="F99" s="70"/>
      <c r="G99" s="70">
        <v>44717.850543981483</v>
      </c>
    </row>
    <row r="100" spans="1:7">
      <c r="A100" s="68" t="s">
        <v>1493</v>
      </c>
      <c r="B100" s="68" t="s">
        <v>1500</v>
      </c>
      <c r="C100" s="67" t="b">
        <v>0</v>
      </c>
      <c r="F100" s="70"/>
      <c r="G100" s="70">
        <v>44717.850543981483</v>
      </c>
    </row>
    <row r="101" spans="1:7">
      <c r="A101" s="68" t="s">
        <v>1493</v>
      </c>
      <c r="B101" s="68" t="s">
        <v>1501</v>
      </c>
      <c r="C101" s="67" t="b">
        <v>0</v>
      </c>
      <c r="F101" s="70"/>
      <c r="G101" s="70">
        <v>44717.850543981483</v>
      </c>
    </row>
    <row r="102" spans="1:7">
      <c r="A102" s="68" t="s">
        <v>1493</v>
      </c>
      <c r="B102" s="68" t="s">
        <v>1502</v>
      </c>
      <c r="C102" s="67" t="b">
        <v>0</v>
      </c>
      <c r="F102" s="70"/>
      <c r="G102" s="70">
        <v>44717.850543981483</v>
      </c>
    </row>
    <row r="103" spans="1:7">
      <c r="A103" s="68" t="s">
        <v>1493</v>
      </c>
      <c r="B103" s="68" t="s">
        <v>1503</v>
      </c>
      <c r="C103" s="67" t="b">
        <v>0</v>
      </c>
      <c r="F103" s="70"/>
      <c r="G103" s="70">
        <v>44717.850543981483</v>
      </c>
    </row>
    <row r="104" spans="1:7">
      <c r="A104" s="68" t="s">
        <v>1493</v>
      </c>
      <c r="B104" s="68" t="s">
        <v>1504</v>
      </c>
      <c r="C104" s="67" t="b">
        <v>0</v>
      </c>
      <c r="F104" s="70"/>
      <c r="G104" s="70">
        <v>44717.850543981483</v>
      </c>
    </row>
    <row r="105" spans="1:7">
      <c r="A105" s="68" t="s">
        <v>1493</v>
      </c>
      <c r="B105" s="68" t="s">
        <v>1505</v>
      </c>
      <c r="C105" s="67">
        <v>0</v>
      </c>
      <c r="F105" s="70"/>
      <c r="G105" s="70">
        <v>44717.850543981483</v>
      </c>
    </row>
    <row r="106" spans="1:7">
      <c r="A106" s="68" t="s">
        <v>1493</v>
      </c>
      <c r="B106" s="68" t="s">
        <v>1506</v>
      </c>
      <c r="C106" s="67">
        <v>80</v>
      </c>
      <c r="F106" s="70"/>
      <c r="G106" s="70">
        <v>44717.850543981483</v>
      </c>
    </row>
    <row r="107" spans="1:7">
      <c r="A107" s="68" t="s">
        <v>1493</v>
      </c>
      <c r="B107" s="68" t="s">
        <v>1507</v>
      </c>
      <c r="F107" s="70"/>
      <c r="G107" s="70">
        <v>44717.850543981483</v>
      </c>
    </row>
    <row r="108" spans="1:7">
      <c r="A108" s="68" t="s">
        <v>1493</v>
      </c>
      <c r="B108" s="68" t="s">
        <v>1508</v>
      </c>
      <c r="C108" s="69">
        <v>44562</v>
      </c>
      <c r="F108" s="70"/>
      <c r="G108" s="70">
        <v>44717.850543981483</v>
      </c>
    </row>
    <row r="109" spans="1:7">
      <c r="A109" s="68" t="s">
        <v>1493</v>
      </c>
      <c r="B109" s="68" t="s">
        <v>1509</v>
      </c>
      <c r="C109" s="69">
        <v>44199</v>
      </c>
      <c r="F109" s="70"/>
      <c r="G109" s="70">
        <v>44717.850543981483</v>
      </c>
    </row>
  </sheetData>
  <sortState xmlns:xlrd2="http://schemas.microsoft.com/office/spreadsheetml/2017/richdata2" ref="A54:AB93">
    <sortCondition ref="A54:A93"/>
    <sortCondition ref="B54:B93"/>
  </sortState>
  <phoneticPr fontId="11" type="noConversion"/>
  <hyperlinks>
    <hyperlink ref="C6" r:id="rId1" xr:uid="{00000000-0004-0000-0700-000000000000}"/>
  </hyperlinks>
  <pageMargins left="0.7" right="0.7" top="0.75" bottom="0.75" header="0.3" footer="0.3"/>
  <pageSetup paperSize="9" orientation="portrait" r:id="rId2"/>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separator id="MySeparator2"/>
          <button id="cbtnSelectFormulaCells" getLabel="xlgantt_ribbon_getlabel" size="large" onAction="selectFormulaCellsFromRibbon" imageMso="SelectMenu"/>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7</vt:i4>
      </vt:variant>
      <vt:variant>
        <vt:lpstr>이름 지정된 범위</vt:lpstr>
      </vt:variant>
      <vt:variant>
        <vt:i4>34</vt:i4>
      </vt:variant>
    </vt:vector>
  </HeadingPairs>
  <TitlesOfParts>
    <vt:vector size="41" baseType="lpstr">
      <vt:lpstr>Help</vt:lpstr>
      <vt:lpstr>Schedule</vt:lpstr>
      <vt:lpstr>Progress</vt:lpstr>
      <vt:lpstr>AnalysisReport</vt:lpstr>
      <vt:lpstr>Calendar</vt:lpstr>
      <vt:lpstr>TranslatedLanguages</vt:lpstr>
      <vt:lpstr>Workload</vt:lpstr>
      <vt:lpstr>ACTUAL_RATE</vt:lpstr>
      <vt:lpstr>ACTUAL_WORKLOAD</vt:lpstr>
      <vt:lpstr>ACTUAL_WORKLOAD2</vt:lpstr>
      <vt:lpstr>English_Name</vt:lpstr>
      <vt:lpstr>PLANNED_RATE</vt:lpstr>
      <vt:lpstr>PLANNED_WORKLOAD</vt:lpstr>
      <vt:lpstr>Schedule!Print_Area</vt:lpstr>
      <vt:lpstr>RATE_GAP</vt:lpstr>
      <vt:lpstr>Schedule!RNG_ACTUAL_END_DATE_COL_NAME</vt:lpstr>
      <vt:lpstr>Schedule!RNG_ACTUAL_RATE_COL_NAME</vt:lpstr>
      <vt:lpstr>Schedule!RNG_ACTUAL_START_DATE_COL_NAME</vt:lpstr>
      <vt:lpstr>Schedule!RNG_ACTUAL_TOTAL_DURATION_COL_NAME</vt:lpstr>
      <vt:lpstr>Schedule!RNG_ACTUAL_TOTAL_WORKLOAD_COL_NAME</vt:lpstr>
      <vt:lpstr>Schedule!RNG_CALENDAR_COL_NAME</vt:lpstr>
      <vt:lpstr>Schedule!RNG_DELIVERABLES_COL_NAME</vt:lpstr>
      <vt:lpstr>Schedule!RNG_END_DATE_COL_NAME</vt:lpstr>
      <vt:lpstr>Schedule!RNG_ETC_COL_NAME</vt:lpstr>
      <vt:lpstr>Schedule!RNG_GANTT_AREA_FIRST_COL_NAME</vt:lpstr>
      <vt:lpstr>Schedule!RNG_PLAN_DURATION_COL_NAME</vt:lpstr>
      <vt:lpstr>Schedule!RNG_PLAN_RATE_COL_NAME</vt:lpstr>
      <vt:lpstr>Schedule!RNG_PLAN_WORKLOAD_COL_NAME</vt:lpstr>
      <vt:lpstr>Schedule!RNG_RESOURCE_COL_NAME</vt:lpstr>
      <vt:lpstr>Schedule!RNG_RESOURCE_WEIGHT_COL_NAME</vt:lpstr>
      <vt:lpstr>Schedule!RNG_START_DATE_COL_NAME</vt:lpstr>
      <vt:lpstr>Schedule!RNG_TASK_FIRST_COL_NAME</vt:lpstr>
      <vt:lpstr>Schedule!RNG_TOTAL_DURATION_COL_NAME</vt:lpstr>
      <vt:lpstr>Schedule!RNG_TOTAL_WORKLOAD_COL_NAME</vt:lpstr>
      <vt:lpstr>Schedule!RNG_WBS_AREA_LAST_COL_NAME</vt:lpstr>
      <vt:lpstr>Schedule!RNG_WBS_COL_NAME</vt:lpstr>
      <vt:lpstr>Schedule!RNG_WBS_LEVEL_COL_NAME</vt:lpstr>
      <vt:lpstr>STD_CAL</vt:lpstr>
      <vt:lpstr>TOTAL_WORKLOAD</vt:lpstr>
      <vt:lpstr>UD_CAL1</vt:lpstr>
      <vt:lpstr>UD_CAL2</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sjpark</dc:creator>
  <cp:keywords/>
  <dc:description/>
  <cp:lastModifiedBy>sjpark</cp:lastModifiedBy>
  <cp:revision/>
  <dcterms:created xsi:type="dcterms:W3CDTF">2018-02-18T09:45:14Z</dcterms:created>
  <dcterms:modified xsi:type="dcterms:W3CDTF">2024-07-29T02:26:47Z</dcterms:modified>
  <cp:category/>
  <cp:contentStatus/>
</cp:coreProperties>
</file>