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glim0\OneDrive\문서\Claude\Projects\02. 웹기획자\가격정책\"/>
    </mc:Choice>
  </mc:AlternateContent>
  <x:bookViews>
    <x:workbookView xWindow="0" yWindow="0" windowWidth="30468" windowHeight="12432" tabRatio="431"/>
  </x:bookViews>
  <x:sheets>
    <x:sheet name="가격정책" sheetId="1" r:id="rId4"/>
    <x:sheet name="검토의견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<x:sst xmlns:r="http://schemas.openxmlformats.org/officeDocument/2006/relationships" xmlns:c="http://schemas.openxmlformats.org/drawingml/2006/chart" xmlns:x="http://schemas.openxmlformats.org/spreadsheetml/2006/main" count="127" uniqueCount="109">
  <x:si>
    <x:t>AI팩 30-50 생산원가</x:t>
  </x:si>
  <x:si>
    <x:t>검수를 규모로 나누는 문제</x:t>
  </x:si>
  <x:si>
    <x:t>코드에 verifyDesignVs(30크레딧)로 있으나 표에 없었다. 행을 넣었고 다운로드 99는 가정이니 확정이 필요하다.</x:t>
  </x:si>
  <x:si>
    <x:t>※ 1크레딧 = 100원   ※ 무료 35크레딧 — 기본생산 12 + 검수 기본 18 = 30크레딧까지 되고 원가는 약 800원</x:t>
  </x:si>
  <x:si>
    <x:t>홈만 · 자동검사 7항목</x:t>
  </x:si>
  <x:si>
    <x:t>오푸스 보강(다운로드)</x:t>
  </x:si>
  <x:si>
    <x:t>문서 앞 16,000자</x:t>
  </x:si>
  <x:si>
    <x:t>(B) 검수를 약속대로</x:t>
  </x:si>
  <x:si>
    <x:t>업로드 문서 검수 · 상세</x:t>
  </x:si>
  <x:si>
    <x:t>400 → 0원. lib/design-presets.ts는 AI를 호출하지 않는다. 코드에 고정된 색·타이포·컴포넌트 스펙을 마크다운으로 쓸 뿐이라 모델을 바꿔도 결과가 같다. '사용버전 하이쿠' 표기도 뺐다.</x:t>
  </x:si>
  <x:si>
    <x:t>표는 12 / 28인데 코드(lib/credits.ts)는 genBasic 10 / genDetail 23이다. 사이트 검수 18 / 40도 코드엔 없고 verifySite 23 하나뿐이다.</x:t>
  </x:si>
  <x:si>
    <x:t>안전하다. 생산이 12/28로 오르면서 여유가 더 생겼다. 최악 조합이 기본생산 12 + 사이트검수 18 = 30크레딧이고 원가는 약 835원. 가장 싼 다운로드가 99크레딧이라 무료로는 어떤 파일도 받을 수 없다.</x:t>
  </x:si>
  <x:si>
    <x:t>AI팩</x:t>
  </x:si>
  <x:si>
    <x:t>비고</x:t>
  </x:si>
  <x:si>
    <x:t>종류</x:t>
  </x:si>
  <x:si>
    <x:t>추가</x:t>
  </x:si>
  <x:si>
    <x:t>내용</x:t>
  </x:si>
  <x:si>
    <x:t>반영</x:t>
  </x:si>
  <x:si>
    <x:t>구성</x:t>
  </x:si>
  <x:si>
    <x:t>원가율</x:t>
  </x:si>
  <x:si>
    <x:t>플러스</x:t>
  </x:si>
  <x:si>
    <x:t>항목</x:t>
  </x:si>
  <x:si>
    <x:t>판매가</x:t>
  </x:si>
  <x:si>
    <x:t>규모</x:t>
  </x:si>
  <x:si>
    <x:t>확인</x:t>
  </x:si>
  <x:si>
    <x:t>마진</x:t>
  </x:si>
  <x:si>
    <x:t>등급</x:t>
  </x:si>
  <x:si>
    <x:t>고침</x:t>
  </x:si>
  <x:si>
    <x:t>구분</x:t>
  </x:si>
  <x:si>
    <x:t>디럭스</x:t>
  </x:si>
  <x:si>
    <x:t/>
  </x:si>
  <x:si>
    <x:t>1묶음</x:t>
  </x:si>
  <x:si>
    <x:t>총원가</x:t>
  </x:si>
  <x:si>
    <x:t>원가</x:t>
  </x:si>
  <x:si>
    <x:t>홈+주요 화면 · 페이지마다 11항목(실측 66항목·절차 281개)</x:t>
  </x:si>
  <x:si>
    <x:t>검수 (오푸스)</x:t>
  </x:si>
  <x:si>
    <x:t>가격정책표 (수정본)</x:t>
  </x:si>
  <x:si>
    <x:t>검수 다운로드 원가</x:t>
  </x:si>
  <x:si>
    <x:t>생산
(크레딧)</x:t>
  </x:si>
  <x:si>
    <x:t>사이트 검수 · 기본</x:t>
  </x:si>
  <x:si>
    <x:t>무료 35크레딧</x:t>
  </x:si>
  <x:si>
    <x:t>사이트 검수 · 상세</x:t>
  </x:si>
  <x:si>
    <x:t>디자인프리셋 원가</x:t>
  </x:si>
  <x:si>
    <x:t>총계
(크레딧)</x:t>
  </x:si>
  <x:si>
    <x:t>설계 대비 검수</x:t>
  </x:si>
  <x:si>
    <x:t>다운로드
(크레딧)</x:t>
  </x:si>
  <x:si>
    <x:t>스펙팩 검수 · 주요</x:t>
  </x:si>
  <x:si>
    <x:t>스펙팩 검수 · 상세</x:t>
  </x:si>
  <x:si>
    <x:t>43화면=5묶음</x:t>
  </x:si>
  <x:si>
    <x:t>AI 미사용 → 원가 0</x:t>
  </x:si>
  <x:si>
    <x:t>업로드 문서 검수 · 기본</x:t>
  </x:si>
  <x:si>
    <x:t>문서 검수 생산값이 얇다</x:t>
  </x:si>
  <x:si>
    <x:t>AI팩(30-50)+디자인</x:t>
  </x:si>
  <x:si>
    <x:t>기본=1회 / 상세=여러 회. 실측: 사이트 기본 138원·상세(6페이지) 917원, 문서 기본 301원·상세 447원(2토막, 8토막 상한이면 약 1,800원)</x:t>
  </x:si>
  <x:si>
    <x:t>※ HTML 제작(30-50) 45,000원 / (100-150) 66,000원 — 이미 만들어 둔 업종은 한계원가 0으로 봐서 원가에 넣지 않았다</x:t>
  </x:si>
  <x:si>
    <x:t>AI를 쓰지 않음 — 코드에 고정된 데이터가 그대로 산출물(design-presets.ts)</x:t>
  </x:si>
  <x:si>
    <x:t>※ 판매가는 낱개 합에 연동된 수식이다. 위 표의 크레딧을 바꾸면 등급 값도 따라 움직인다</x:t>
  </x:si>
  <x:si>
    <x:t>※ AI팩 구성 : 메뉴구조, IA, 기능정의서, Flow, WBS, AI 빌드 스펙팩</x:t>
  </x:si>
  <x:si>
    <x:t>오푸스 3,000/10,000 → 0원. 검수 시나리오 엑셀 변환(verify-scenario.ts)은 AI를 쓰지 않는다. 다운로드 때 다시 검수하면 사이트가 그새 바뀌었을 때 판정이 뒤집히므로, 검수는 처음부터 오푸스로 하고 다운로드 보강은 두지 않는다.</x:t>
  </x:si>
  <x:si>
    <x:t>30-50 3,400 → 500원 / 100-150 10,900 → 2,000원. (B) 적용 후 실측: 사이트 기본 138원 · 사이트 상세(6페이지) 917원 · 문서 기본 301원 · 문서 상세 447원(2토막). 문서를 8토막 상한까지 채우면 약 1,800원.</x:t>
  </x:si>
  <x:si>
    <x:t>확정 판매가</x:t>
  </x:si>
  <x:si>
    <x:t>심사계정</x:t>
  </x:si>
  <x:si>
    <x:t>예전에는 상세를 골라도 AI가 홈 HTML 하나만 3번 봤다(하위 페이지·문서 뒷부분은 아예 못 봄). 이제 사이트는 크롤한 페이지마다, 문서는 16,000자 토막마다 한 번씩 본다. 사이트 상세 기준 자동검사 7→66항목, 확인 절차 42→281개.</x:t>
  </x:si>
  <x:si>
    <x:t>원가 블록에 있는데 별도구매에서는 판매가로 쓰인다. 어느 쪽인지 정해야 한다. 이미 만들어 둔 업종은 한계원가 0으로 보고 등급 원가에는 넣지 않았다.</x:t>
  </x:si>
  <x:si>
    <x:t>2026-08-01 · 원가는 실측값에 여유를 두고 올린 값. 노란 칸이 이번에 바로잡은 곳.</x:t>
  </x:si>
  <x:si>
    <x:t>표는 검수를 30-50 / 100-150으로 나눠 받는데, 코드는 화면 수를 모른다. 사이트 검수는 URL만 받아 그 사이트가 몇 화면인지 알 방법이 없다. 실제로 코드가 나누는 축은 '기본 / 상세'이고 원가도 그 축으로 갈린다(기본 1회 vs 상세 6~8회). 표의 라벨을 30-50/100-150 대신 기본/상세로 바꾸는 것이 맞다.</x:t>
  </x:si>
  <x:si>
    <x:t>네 등급 모두 낱개 합과 정확히 맞는다. 수정본에서는 수식으로 연동해 두었다.</x:t>
  </x:si>
  <x:si>
    <x:t>문서 상세를 8토막까지 채우면 원가 약 1,800원인데 생산 크레딧이 28(2,800원)이라 원가율 64%다. 다운로드까지 가면 21,700원 대비 8%로 괜찮지만, 검사만 하고 안 받는 손님에서는 얇다. 생산값을 올리거나 토막 상한(MAX_DOC_CHUNKS=8)을 줄이는 선택이 필요하다.</x:t>
  </x:si>
  <x:si>
    <x:t>3,000 → 400원. 원가 블록엔 400으로 적어두시고 이 칸에만 오푸스 값이 들어가 있었다. 마진 34,200 → 36,800원.</x:t>
  </x:si>
  <x:si>
    <x:t>검수 다운로드 189 / 230</x:t>
  </x:si>
  <x:si>
    <x:t>AI팩(100-150)+디자인</x:t>
  </x:si>
  <x:si>
    <x:t>※ 이 값이 판매가인지 제작원가인지 확인 필요. 이미 만들어 둔 업종은 한계원가 0</x:t>
  </x:si>
  <x:si>
    <x:t>16,000자씩 최대 8토막. 짧으면 묶음이 줄고 값도 준다(실제 묶음만 과금)</x:t>
  </x:si>
  <x:si>
    <x:t>표는 사이트 검수를 오푸스로 잡았는데 코드(claude-verifier.ts)는 아직 하이쿠다. 같은 사이트로 비교했을 때 하이쿠는 확인 화면 22개·절차 75개, 오푸스는 33개·138개였다.</x:t>
  </x:si>
  <x:si>
    <x:t>※ 검수 생성값 = 10크레딧 + 묶음당 8크레딧. 묶음 = 화면 10개 / 문서 16,000자 / 사이트 1페이지. 상세는 상한이고, 실제로 돈 묶음 수만큼만 차감한다</x:t>
  </x:si>
  <x:si>
    <x:t>생산원가</x:t>
  </x:si>
  <x:si>
    <x:t>1페이지</x:t>
  </x:si>
  <x:si>
    <x:t>최대 6페이지</x:t>
  </x:si>
  <x:si>
    <x:t>HTML 제작</x:t>
  </x:si>
  <x:si>
    <x:t>스텐다드</x:t>
  </x:si>
  <x:si>
    <x:t>프리미엄</x:t>
  </x:si>
  <x:si>
    <x:t>100-150</x:t>
  </x:si>
  <x:si>
    <x:t>검수 원가</x:t>
  </x:si>
  <x:si>
    <x:t>생산 크레딧</x:t>
  </x:si>
  <x:si>
    <x:t>확인필요</x:t>
  </x:si>
  <x:si>
    <x:t>최대 8묶음</x:t>
  </x:si>
  <x:si>
    <x:t>디자인프리셋</x:t>
  </x:si>
  <x:si>
    <x:t>결정필요</x:t>
  </x:si>
  <x:si>
    <x:t>생산(원)</x:t>
  </x:si>
  <x:si>
    <x:t>별도구매 합산</x:t>
  </x:si>
  <x:si>
    <x:t>마진(원)</x:t>
  </x:si>
  <x:si>
    <x:t>30-50</x:t>
  </x:si>
  <x:si>
    <x:t>별도구매</x:t>
  </x:si>
  <x:si>
    <x:t>다운로드원가</x:t>
  </x:si>
  <x:si>
    <x:t>코드반영</x:t>
  </x:si>
  <x:si>
    <x:t>검수 모델</x:t>
  </x:si>
  <x:si>
    <x:t>검토의견</x:t>
  </x:si>
  <x:si>
    <x:t>총계(원)</x:t>
  </x:si>
  <x:si>
    <x:t>하이쿠 생성</x:t>
  </x:si>
  <x:si>
    <x:t>충전사용</x:t>
  </x:si>
  <x:si>
    <x:t>다운로드(원)</x:t>
  </x:si>
  <x:si>
    <x:t>우리 산출물 기준. 화면 수를 알아서 누르기 전에 값이 확정된다</x:t>
  </x:si>
  <x:si>
    <x:t>화면 10개당 1묶음. 156화면이면 16묶음 138크레딧</x:t>
  </x:si>
  <x:si>
    <x:t>화면 수에 비례 · 실측 2,645 / 9,716원</x:t>
  </x:si>
  <x:si>
    <x:t>AI팩(100-150)+디자인+검수시나리오+HTML</x:t>
  </x:si>
  <x:si>
    <x:t>원가 근거는 사라졌다(엑셀 변환은 AI 미사용). 값 자체를 유지할지는 정책 판단이라 손대지 않고 그대로 두었다.</x:t>
  </x:si>
  <x:si>
    <x:t>HTML 45,000 / 66,000</x:t>
  </x:si>
  <x:si>
    <x:t>화면 수에 비례 · 실측 308 / 827원</x:t>
  </x:si>
  <x:si>
    <x:t>AI팩(30-50)+디자인+검수시나리오+HTML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</x:si>
</x:sst>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.0%"/>
  </x:numFmts>
  <x:fonts count="15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4"/>
      <x:color rgb="ff1f3864"/>
      <x:b val="1"/>
    </x:font>
    <x:font>
      <x:name val="맑은 고딕"/>
      <x:sz val="9"/>
      <x:color rgb="ff808080"/>
    </x:font>
    <x:font>
      <x:name val="맑은 고딕"/>
      <x:sz val="12"/>
      <x:color rgb="ff1f3864"/>
      <x:b val="1"/>
    </x:font>
    <x:font>
      <x:name val="맑은 고딕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808080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80808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x:font>
      <x:name val="맑은 고딕"/>
      <x:sz val="11"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d9e2f3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ff00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14" fillId="0" borderId="0">
      <x:alignment horizontal="general" vertical="center"/>
    </x:xf>
  </x:cellStyleXfs>
  <x:cellXfs count="22">
    <x:xf numFmtId="0" fontId="0" fillId="0" borderId="0" xfId="1">
      <x:alignment horizontal="general" vertical="bottom"/>
    </x:xf>
    <x:xf numFmtId="0" fontId="6" fillId="0" borderId="0" xfId="0" applyFont="1" applyAlignment="1">
      <x:alignment horizontal="general" vertical="bottom"/>
    </x:xf>
    <x:xf numFmtId="0" fontId="7" fillId="0" borderId="0" xfId="0" applyFont="1" applyAlignment="1">
      <x:alignment horizontal="general" vertical="bottom"/>
    </x:xf>
    <x:xf numFmtId="0" fontId="8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Font="1" applyFill="1" applyBorder="1" applyAlignment="1">
          <x:alignment horizontal="center" vertical="center" wrapText="1"/>
        </x:xf>
      </mc:Fallback>
    </mc:AlternateContent>
    <x:xf numFmtId="0" fontId="10" fillId="0" borderId="0" xfId="0" applyFont="1" applyAlignment="1">
      <x:alignment horizontal="general" vertical="bottom"/>
    </x:xf>
    <x:xf numFmtId="3" fontId="10" fillId="0" borderId="0" xfId="0" applyNumberFormat="1" applyFont="1" applyAlignment="1">
      <x:alignment horizontal="general" vertical="bottom"/>
    </x:xf>
    <x:xf numFmtId="0" fontId="11" fillId="0" borderId="0" xfId="0" applyFont="1" applyAlignment="1">
      <x:alignment horizontal="general" vertical="top" wrapText="1"/>
    </x:xf>
    <x:xf numFmtId="3" fontId="10" fillId="3" borderId="0" xfId="0" applyNumberFormat="1" applyFont="1" applyFill="1" applyAlignment="1">
      <x:alignment horizontal="general" vertical="bottom"/>
    </x:xf>
    <x:xf numFmtId="3" fontId="9" fillId="0" borderId="0" xfId="0" applyNumberFormat="1" applyFont="1" applyAlignment="1">
      <x:alignment horizontal="general" vertical="bottom"/>
    </x:xf>
    <x:xf numFmtId="164" fontId="10" fillId="0" borderId="0" xfId="0" applyNumberFormat="1" applyFont="1" applyAlignment="1">
      <x:alignment horizontal="general" vertical="bottom"/>
    </x:xf>
    <x:xf numFmtId="0" fontId="7" fillId="0" borderId="0" xfId="0" applyFont="1" applyAlignment="1">
      <x:alignment horizontal="general" vertical="top" wrapText="1"/>
    </x:xf>
    <x:xf numFmtId="0" fontId="12" fillId="0" borderId="0" xfId="0" applyFont="1" applyAlignment="1">
      <x:alignment horizontal="general" vertical="bottom"/>
    </x:xf>
    <x:xf numFmtId="0" fontId="9" fillId="0" borderId="0" xfId="0" applyFont="1" applyAlignment="1">
      <x:alignment horizontal="general" vertical="bottom"/>
    </x:xf>
    <x:xf numFmtId="0" fontId="11" fillId="0" borderId="0" xfId="0" applyFont="1" applyAlignment="1">
      <x:alignment horizontal="general" vertical="bottom"/>
    </x:xf>
    <x:xf numFmtId="0" fontId="6" fillId="0" borderId="0" xfId="0" applyFont="1" applyAlignment="1">
      <x:alignment horizontal="general" vertical="top" wrapText="1"/>
    </x:xf>
    <x:xf numFmtId="0" fontId="9" fillId="2" borderId="0" xfId="0" applyFont="1" applyFill="1" applyAlignment="1">
      <x:alignment horizontal="general" vertical="top" wrapText="1"/>
    </x:xf>
    <x:xf numFmtId="0" fontId="13" fillId="0" borderId="0" xfId="0" applyFont="1" applyAlignment="1">
      <x:alignment horizontal="general" vertical="top" wrapText="1"/>
    </x:xf>
    <x:xf numFmtId="3" fontId="0" fillId="0" borderId="0" xfId="1" applyNumberFormat="1">
      <x:alignment horizontal="general" vertical="bottom"/>
    </x:xf>
    <x:xf numFmtId="3" fontId="0" fillId="0" borderId="0" xfId="2" applyNumberFormat="1" applyFont="1" applyFill="1" applyBorder="1" applyAlignment="1" applyProtection="1">
      <x:alignment horizontal="general" vertical="bottom"/>
    </x:xf>
    <x:xf numFmtId="0" fontId="0" fillId="0" borderId="0" xfId="2" applyNumberFormat="1" applyFont="1" applyFill="1" applyBorder="1" applyAlignment="1" applyProtection="1">
      <x:alignment horizontal="general" vertical="bottom"/>
    </x:xf>
    <x:xf numFmtId="0" fontId="0" fillId="4" borderId="0" xfId="1" applyFill="1">
      <x:alignment horizontal="general" vertical="bottom"/>
    </x:xf>
  </x:cellXfs>
  <x:cellStyles count="3">
    <x:cellStyle name="Normal" xfId="0" builtinId="0"/>
    <x:cellStyle name="표준" xfId="2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N35"/>
  <x:sheetViews>
    <x:sheetView tabSelected="1" topLeftCell="A13" zoomScaleNormal="100" zoomScaleSheetLayoutView="100" workbookViewId="0">
      <x:selection activeCell="H44" activeCellId="0" sqref="H44:H44"/>
    </x:sheetView>
  </x:sheetViews>
  <x:sheetFormatPr defaultColWidth="8.88671875" defaultRowHeight="14.19999999999999928946"/>
  <x:cols>
    <x:col min="1" max="1" width="16" customWidth="1"/>
    <x:col min="2" max="2" width="43.33203125" customWidth="1"/>
    <x:col min="3" max="3" width="11" customWidth="1"/>
    <x:col min="4" max="5" width="12" customWidth="1"/>
    <x:col min="6" max="6" width="10" customWidth="1"/>
    <x:col min="7" max="8" width="11" customWidth="1"/>
    <x:col min="9" max="9" width="10" customWidth="1"/>
    <x:col min="10" max="10" width="11" customWidth="1"/>
    <x:col min="11" max="11" width="10" customWidth="1"/>
    <x:col min="12" max="12" width="11" customWidth="1"/>
    <x:col min="13" max="13" width="8" customWidth="1"/>
    <x:col min="14" max="14" width="52" customWidth="1"/>
  </x:cols>
  <x:sheetData>
    <x:row r="1" spans="1:1" ht="20.64999999999999857891">
      <x:c r="A1" s="1" t="s">
        <x:v>36</x:v>
      </x:c>
    </x:row>
    <x:row r="2" spans="1:1">
      <x:c r="A2" s="2" t="s">
        <x:v>64</x:v>
      </x:c>
    </x:row>
    <x:row r="4" spans="1:1" ht="17.80000000000000071054">
      <x:c r="A4" s="3" t="s">
        <x:v>33</x:v>
      </x:c>
    </x:row>
    <x:row r="5" spans="1:4">
      <x:c r="A5" s="4" t="s">
        <x:v>28</x:v>
      </x:c>
      <x:c r="B5" s="4" t="s">
        <x:v>91</x:v>
      </x:c>
      <x:c r="C5" s="4" t="s">
        <x:v>81</x:v>
      </x:c>
      <x:c r="D5" s="4" t="s">
        <x:v>13</x:v>
      </x:c>
    </x:row>
    <x:row r="6" spans="1:4" ht="35.79999999999999715783">
      <x:c r="A6" s="5" t="s">
        <x:v>98</x:v>
      </x:c>
      <x:c r="B6" s="6">
        <x:v>400</x:v>
      </x:c>
      <x:c r="C6" s="6">
        <x:v>900</x:v>
      </x:c>
      <x:c r="D6" s="7" t="s">
        <x:v>107</x:v>
      </x:c>
    </x:row>
    <x:row r="7" spans="1:4" ht="35.79999999999999715783">
      <x:c r="A7" s="5" t="s">
        <x:v>5</x:v>
      </x:c>
      <x:c r="B7" s="6">
        <x:v>3000</x:v>
      </x:c>
      <x:c r="C7" s="6">
        <x:v>10000</x:v>
      </x:c>
      <x:c r="D7" s="7" t="s">
        <x:v>103</x:v>
      </x:c>
    </x:row>
    <x:row r="8" spans="1:4" ht="119.29999999999999715783">
      <x:c r="A8" s="5" t="s">
        <x:v>35</x:v>
      </x:c>
      <x:c r="B8" s="8">
        <x:v>500</x:v>
      </x:c>
      <x:c r="C8" s="8">
        <x:v>2000</x:v>
      </x:c>
      <x:c r="D8" s="7" t="s">
        <x:v>53</x:v>
      </x:c>
    </x:row>
    <x:row r="9" spans="1:4" ht="71.59999999999999431566">
      <x:c r="A9" s="5" t="s">
        <x:v>86</x:v>
      </x:c>
      <x:c r="B9" s="8">
        <x:v>0</x:v>
      </x:c>
      <x:c r="C9" s="8">
        <x:v>0</x:v>
      </x:c>
      <x:c r="D9" s="7" t="s">
        <x:v>55</x:v>
      </x:c>
    </x:row>
    <x:row r="10" spans="1:4" ht="71.59999999999999431566">
      <x:c r="A10" s="5" t="s">
        <x:v>78</x:v>
      </x:c>
      <x:c r="B10" s="6">
        <x:v>35000</x:v>
      </x:c>
      <x:c r="C10" s="6">
        <x:v>45000</x:v>
      </x:c>
      <x:c r="D10" s="7" t="s">
        <x:v>71</x:v>
      </x:c>
    </x:row>
    <x:row r="12" spans="1:1" ht="17.80000000000000071054">
      <x:c r="A12" s="3" t="s">
        <x:v>99</x:v>
      </x:c>
    </x:row>
    <x:row r="13" spans="1:14" ht="30" customHeight="1">
      <x:c r="A13" s="4" t="s">
        <x:v>14</x:v>
      </x:c>
      <x:c r="B13" s="4" t="s">
        <x:v>23</x:v>
      </x:c>
      <x:c r="C13" s="4" t="s">
        <x:v>38</x:v>
      </x:c>
      <x:c r="D13" s="4" t="s">
        <x:v>45</x:v>
      </x:c>
      <x:c r="E13" s="4" t="s">
        <x:v>43</x:v>
      </x:c>
      <x:c r="F13" s="4" t="s">
        <x:v>88</x:v>
      </x:c>
      <x:c r="G13" s="4" t="s">
        <x:v>100</x:v>
      </x:c>
      <x:c r="H13" s="4" t="s">
        <x:v>97</x:v>
      </x:c>
      <x:c r="I13" s="4" t="s">
        <x:v>75</x:v>
      </x:c>
      <x:c r="J13" s="4" t="s">
        <x:v>93</x:v>
      </x:c>
      <x:c r="K13" s="4" t="s">
        <x:v>32</x:v>
      </x:c>
      <x:c r="L13" s="4" t="s">
        <x:v>90</x:v>
      </x:c>
      <x:c r="M13" s="4" t="s">
        <x:v>19</x:v>
      </x:c>
      <x:c r="N13" s="4" t="s">
        <x:v>13</x:v>
      </x:c>
    </x:row>
    <x:row r="14" spans="1:14">
      <x:c r="A14" s="5" t="s">
        <x:v>12</x:v>
      </x:c>
      <x:c r="B14" s="5" t="s">
        <x:v>91</x:v>
      </x:c>
      <x:c r="C14" s="6">
        <x:v>12</x:v>
      </x:c>
      <x:c r="D14" s="6">
        <x:v>290</x:v>
      </x:c>
      <x:c r="E14" s="9">
        <x:f>C14+D14</x:f>
        <x:v>302</x:v>
      </x:c>
      <x:c r="F14" s="6">
        <x:f>C14*100</x:f>
        <x:v>1200</x:v>
      </x:c>
      <x:c r="G14" s="6">
        <x:f>D14*100</x:f>
        <x:v>29000</x:v>
      </x:c>
      <x:c r="H14" s="9">
        <x:f>F14+G14</x:f>
        <x:v>30200</x:v>
      </x:c>
      <x:c r="I14" s="8">
        <x:f>B6</x:f>
        <x:v>400</x:v>
      </x:c>
      <x:c r="J14" s="8">
        <x:f>B7</x:f>
        <x:v>3000</x:v>
      </x:c>
      <x:c r="K14" s="6">
        <x:f>I14+J14</x:f>
        <x:v>3400</x:v>
      </x:c>
      <x:c r="L14" s="9">
        <x:f>H14-K14</x:f>
        <x:v>26800</x:v>
      </x:c>
      <x:c r="M14" s="10">
        <x:f>IFERROR(K14/H14,0)</x:f>
        <x:v>0.11258278145695365</x:v>
      </x:c>
      <x:c r="N14" s="11" t="s">
        <x:v>30</x:v>
      </x:c>
    </x:row>
    <x:row r="15" spans="1:14">
      <x:c r="A15" s="5" t="s">
        <x:v>12</x:v>
      </x:c>
      <x:c r="B15" s="5" t="s">
        <x:v>81</x:v>
      </x:c>
      <x:c r="C15" s="6">
        <x:v>28</x:v>
      </x:c>
      <x:c r="D15" s="6">
        <x:v>490</x:v>
      </x:c>
      <x:c r="E15" s="9">
        <x:f>C15+D15</x:f>
        <x:v>518</x:v>
      </x:c>
      <x:c r="F15" s="6">
        <x:f>C15*100</x:f>
        <x:v>2800</x:v>
      </x:c>
      <x:c r="G15" s="6">
        <x:f>D15*100</x:f>
        <x:v>49000</x:v>
      </x:c>
      <x:c r="H15" s="9">
        <x:f>F15+G15</x:f>
        <x:v>51800</x:v>
      </x:c>
      <x:c r="I15" s="8">
        <x:f>C6</x:f>
        <x:v>900</x:v>
      </x:c>
      <x:c r="J15" s="8">
        <x:f>C7</x:f>
        <x:v>10000</x:v>
      </x:c>
      <x:c r="K15" s="6">
        <x:f>I15+J15</x:f>
        <x:v>10900</x:v>
      </x:c>
      <x:c r="L15" s="9">
        <x:f>H15-K15</x:f>
        <x:v>40900</x:v>
      </x:c>
      <x:c r="M15" s="10">
        <x:f>IFERROR(K15/H15,0)</x:f>
        <x:v>0.21042471042471042</x:v>
      </x:c>
      <x:c r="N15" s="11" t="s">
        <x:v>30</x:v>
      </x:c>
    </x:row>
    <x:row r="16" spans="1:14">
      <x:c r="A16" s="5" t="s">
        <x:v>86</x:v>
      </x:c>
      <x:c r="B16" s="5" t="s">
        <x:v>30</x:v>
      </x:c>
      <x:c r="C16" s="6">
        <x:v>12</x:v>
      </x:c>
      <x:c r="D16" s="6">
        <x:v>99</x:v>
      </x:c>
      <x:c r="E16" s="9">
        <x:f>C16+D16</x:f>
        <x:v>111</x:v>
      </x:c>
      <x:c r="F16" s="6">
        <x:f>C16*100</x:f>
        <x:v>1200</x:v>
      </x:c>
      <x:c r="G16" s="6">
        <x:f>D16*100</x:f>
        <x:v>9900</x:v>
      </x:c>
      <x:c r="H16" s="9">
        <x:f>F16+G16</x:f>
        <x:v>11100</x:v>
      </x:c>
      <x:c r="I16" s="8">
        <x:f>B9</x:f>
        <x:v>0</x:v>
      </x:c>
      <x:c r="J16" s="8">
        <x:v>0</x:v>
      </x:c>
      <x:c r="K16" s="6">
        <x:f>I16+J16</x:f>
        <x:v>0</x:v>
      </x:c>
      <x:c r="L16" s="9">
        <x:f>H16-K16</x:f>
        <x:v>11100</x:v>
      </x:c>
      <x:c r="M16" s="10">
        <x:f>IFERROR(K16/H16,0)</x:f>
        <x:v>0</x:v>
      </x:c>
      <x:c r="N16" s="11" t="s">
        <x:v>49</x:v>
      </x:c>
    </x:row>
    <x:row r="17" spans="1:14">
      <x:c r="A17" s="5" t="s">
        <x:v>46</x:v>
      </x:c>
      <x:c r="B17" s="5" t="s">
        <x:v>31</x:v>
      </x:c>
      <x:c r="C17" s="6">
        <x:v>18</x:v>
      </x:c>
      <x:c r="D17" s="6">
        <x:v>99</x:v>
      </x:c>
      <x:c r="E17" s="9">
        <x:f>C17+D17</x:f>
        <x:v>117</x:v>
      </x:c>
      <x:c r="F17" s="6">
        <x:f>C17*100</x:f>
        <x:v>1800</x:v>
      </x:c>
      <x:c r="G17" s="6">
        <x:f>D17*100</x:f>
        <x:v>9900</x:v>
      </x:c>
      <x:c r="H17" s="9">
        <x:f>F17+G17</x:f>
        <x:v>11700</x:v>
      </x:c>
      <x:c r="I17" s="8">
        <x:f>B8</x:f>
        <x:v>500</x:v>
      </x:c>
      <x:c r="J17" s="8">
        <x:v>0</x:v>
      </x:c>
      <x:c r="K17" s="6">
        <x:f>I17+J17</x:f>
        <x:v>500</x:v>
      </x:c>
      <x:c r="L17" s="9">
        <x:f>H17-K17</x:f>
        <x:v>11200</x:v>
      </x:c>
      <x:c r="M17" s="10">
        <x:f>IFERROR(K17/H17,0)</x:f>
        <x:v>0.042735042735042736</x:v>
      </x:c>
      <x:c r="N17" s="11" t="s">
        <x:v>101</x:v>
      </x:c>
    </x:row>
    <x:row r="18" spans="1:14">
      <x:c r="A18" s="5" t="s">
        <x:v>47</x:v>
      </x:c>
      <x:c r="B18" s="5" t="s">
        <x:v>48</x:v>
      </x:c>
      <x:c r="C18" s="6">
        <x:v>50</x:v>
      </x:c>
      <x:c r="D18" s="6">
        <x:v>99</x:v>
      </x:c>
      <x:c r="E18" s="9">
        <x:f>C18+D18</x:f>
        <x:v>149</x:v>
      </x:c>
      <x:c r="F18" s="6">
        <x:f>C18*100</x:f>
        <x:v>5000</x:v>
      </x:c>
      <x:c r="G18" s="6">
        <x:f>D18*100</x:f>
        <x:v>9900</x:v>
      </x:c>
      <x:c r="H18" s="9">
        <x:f>F18+G18</x:f>
        <x:v>14900</x:v>
      </x:c>
      <x:c r="I18" s="8">
        <x:f>C8</x:f>
        <x:v>2000</x:v>
      </x:c>
      <x:c r="J18" s="8">
        <x:v>0</x:v>
      </x:c>
      <x:c r="K18" s="6">
        <x:f>I18+J18</x:f>
        <x:v>2000</x:v>
      </x:c>
      <x:c r="L18" s="9">
        <x:f>H18-K18</x:f>
        <x:v>12900</x:v>
      </x:c>
      <x:c r="M18" s="10">
        <x:f>IFERROR(K18/H18,0)</x:f>
        <x:v>0.13422818791946309</x:v>
      </x:c>
      <x:c r="N18" s="11" t="s">
        <x:v>102</x:v>
      </x:c>
    </x:row>
    <x:row r="19" spans="1:14">
      <x:c r="A19" s="5" t="s">
        <x:v>50</x:v>
      </x:c>
      <x:c r="B19" s="5" t="s">
        <x:v>31</x:v>
      </x:c>
      <x:c r="C19" s="6">
        <x:v>18</x:v>
      </x:c>
      <x:c r="D19" s="6">
        <x:v>99</x:v>
      </x:c>
      <x:c r="E19" s="9">
        <x:f>C19+D19</x:f>
        <x:v>117</x:v>
      </x:c>
      <x:c r="F19" s="6">
        <x:f>C19*100</x:f>
        <x:v>1800</x:v>
      </x:c>
      <x:c r="G19" s="6">
        <x:f>D19*100</x:f>
        <x:v>9900</x:v>
      </x:c>
      <x:c r="H19" s="9">
        <x:f>F19+G19</x:f>
        <x:v>11700</x:v>
      </x:c>
      <x:c r="I19" s="8">
        <x:f>B8</x:f>
        <x:v>500</x:v>
      </x:c>
      <x:c r="J19" s="8">
        <x:v>0</x:v>
      </x:c>
      <x:c r="K19" s="6">
        <x:f>I19+J19</x:f>
        <x:v>500</x:v>
      </x:c>
      <x:c r="L19" s="9">
        <x:f>H19-K19</x:f>
        <x:v>11200</x:v>
      </x:c>
      <x:c r="M19" s="10">
        <x:f>IFERROR(K19/H19,0)</x:f>
        <x:v>0.042735042735042736</x:v>
      </x:c>
      <x:c r="N19" s="11" t="s">
        <x:v>6</x:v>
      </x:c>
    </x:row>
    <x:row r="20" spans="1:14" ht="23.89999999999999857891">
      <x:c r="A20" s="5" t="s">
        <x:v>8</x:v>
      </x:c>
      <x:c r="B20" s="5" t="s">
        <x:v>85</x:v>
      </x:c>
      <x:c r="C20" s="6">
        <x:v>74</x:v>
      </x:c>
      <x:c r="D20" s="6">
        <x:v>99</x:v>
      </x:c>
      <x:c r="E20" s="9">
        <x:f>C20+D20</x:f>
        <x:v>173</x:v>
      </x:c>
      <x:c r="F20" s="6">
        <x:f>C20*100</x:f>
        <x:v>7400</x:v>
      </x:c>
      <x:c r="G20" s="6">
        <x:f>D20*100</x:f>
        <x:v>9900</x:v>
      </x:c>
      <x:c r="H20" s="9">
        <x:f>F20+G20</x:f>
        <x:v>17300</x:v>
      </x:c>
      <x:c r="I20" s="8">
        <x:f>C8</x:f>
        <x:v>2000</x:v>
      </x:c>
      <x:c r="J20" s="8">
        <x:v>0</x:v>
      </x:c>
      <x:c r="K20" s="6">
        <x:f>I20+J20</x:f>
        <x:v>2000</x:v>
      </x:c>
      <x:c r="L20" s="9">
        <x:f>H20-K20</x:f>
        <x:v>15300</x:v>
      </x:c>
      <x:c r="M20" s="10">
        <x:f>IFERROR(K20/H20,0)</x:f>
        <x:v>0.11560693641618497</x:v>
      </x:c>
      <x:c r="N20" s="11" t="s">
        <x:v>72</x:v>
      </x:c>
    </x:row>
    <x:row r="21" spans="1:14">
      <x:c r="A21" s="5" t="s">
        <x:v>39</x:v>
      </x:c>
      <x:c r="B21" s="5" t="s">
        <x:v>76</x:v>
      </x:c>
      <x:c r="C21" s="6">
        <x:v>18</x:v>
      </x:c>
      <x:c r="D21" s="6">
        <x:v>99</x:v>
      </x:c>
      <x:c r="E21" s="9">
        <x:f>C21+D21</x:f>
        <x:v>117</x:v>
      </x:c>
      <x:c r="F21" s="6">
        <x:f>C21*100</x:f>
        <x:v>1800</x:v>
      </x:c>
      <x:c r="G21" s="6">
        <x:f>D21*100</x:f>
        <x:v>9900</x:v>
      </x:c>
      <x:c r="H21" s="9">
        <x:f>F21+G21</x:f>
        <x:v>11700</x:v>
      </x:c>
      <x:c r="I21" s="8">
        <x:f>B8</x:f>
        <x:v>500</x:v>
      </x:c>
      <x:c r="J21" s="8">
        <x:v>0</x:v>
      </x:c>
      <x:c r="K21" s="6">
        <x:f>I21+J21</x:f>
        <x:v>500</x:v>
      </x:c>
      <x:c r="L21" s="9">
        <x:f>H21-K21</x:f>
        <x:v>11200</x:v>
      </x:c>
      <x:c r="M21" s="10">
        <x:f>IFERROR(K21/H21,0)</x:f>
        <x:v>0.042735042735042736</x:v>
      </x:c>
      <x:c r="N21" s="11" t="s">
        <x:v>4</x:v>
      </x:c>
    </x:row>
    <x:row r="22" spans="1:14">
      <x:c r="A22" s="5" t="s">
        <x:v>41</x:v>
      </x:c>
      <x:c r="B22" s="5" t="s">
        <x:v>77</x:v>
      </x:c>
      <x:c r="C22" s="6">
        <x:v>58</x:v>
      </x:c>
      <x:c r="D22" s="6">
        <x:v>99</x:v>
      </x:c>
      <x:c r="E22" s="9">
        <x:f>C22+D22</x:f>
        <x:v>157</x:v>
      </x:c>
      <x:c r="F22" s="6">
        <x:f>C22*100</x:f>
        <x:v>5800</x:v>
      </x:c>
      <x:c r="G22" s="6">
        <x:f>D22*100</x:f>
        <x:v>9900</x:v>
      </x:c>
      <x:c r="H22" s="9">
        <x:f>F22+G22</x:f>
        <x:v>15700</x:v>
      </x:c>
      <x:c r="I22" s="8">
        <x:f>C8</x:f>
        <x:v>2000</x:v>
      </x:c>
      <x:c r="J22" s="8">
        <x:v>0</x:v>
      </x:c>
      <x:c r="K22" s="6">
        <x:f>I22+J22</x:f>
        <x:v>2000</x:v>
      </x:c>
      <x:c r="L22" s="9">
        <x:f>H22-K22</x:f>
        <x:v>13700</x:v>
      </x:c>
      <x:c r="M22" s="10">
        <x:f>IFERROR(K22/H22,0)</x:f>
        <x:v>0.12738853503184713</x:v>
      </x:c>
      <x:c r="N22" s="11" t="s">
        <x:v>34</x:v>
      </x:c>
    </x:row>
    <x:row r="23" spans="1:1">
      <x:c r="A23" s="12" t="s">
        <x:v>3</x:v>
      </x:c>
    </x:row>
    <x:row r="24" spans="1:1">
      <x:c r="A24" s="12" t="s">
        <x:v>57</x:v>
      </x:c>
    </x:row>
    <x:row r="25" spans="1:1">
      <x:c r="A25" s="12" t="s">
        <x:v>74</x:v>
      </x:c>
    </x:row>
    <x:row r="28" spans="1:1" ht="17.80000000000000071054">
      <x:c r="A28" s="3" t="s">
        <x:v>92</x:v>
      </x:c>
    </x:row>
    <x:row r="29" spans="1:9">
      <x:c r="A29" s="4" t="s">
        <x:v>26</x:v>
      </x:c>
      <x:c r="B29" s="4" t="s">
        <x:v>18</x:v>
      </x:c>
      <x:c r="C29" s="4" t="s">
        <x:v>22</x:v>
      </x:c>
      <x:c r="D29" s="4" t="s">
        <x:v>33</x:v>
      </x:c>
      <x:c r="E29" s="4" t="s">
        <x:v>25</x:v>
      </x:c>
      <x:c r="F29" s="4" t="s">
        <x:v>19</x:v>
      </x:c>
      <x:c r="G29" s="21" t="s">
        <x:v>60</x:v>
      </x:c>
      <x:c r="I29" t="s">
        <x:v>61</x:v>
      </x:c>
    </x:row>
    <x:row r="30" spans="1:12">
      <x:c r="A30" s="13" t="s">
        <x:v>79</x:v>
      </x:c>
      <x:c r="B30" s="14" t="s">
        <x:v>52</x:v>
      </x:c>
      <x:c r="C30" s="9">
        <x:f>(H14+H16)*0.8</x:f>
        <x:v>33040</x:v>
      </x:c>
      <x:c r="D30" s="6">
        <x:f>K14+K16</x:f>
        <x:v>3400</x:v>
      </x:c>
      <x:c r="E30" s="9">
        <x:f>C30-D30</x:f>
        <x:v>29640</x:v>
      </x:c>
      <x:c r="F30" s="10">
        <x:f>IFERROR(D30/C30,0)</x:f>
        <x:v>0.10290556900726393</x:v>
      </x:c>
      <x:c r="G30" s="18">
        <x:f>C30-40</x:f>
        <x:v>33000</x:v>
      </x:c>
      <x:c r="I30" s="19">
        <x:f>SUM(C15,D15,C16,D16,C18,D18,C21,D21,C31)</x:f>
        <x:v>51215</x:v>
      </x:c>
      <x:c r="J30" s="20">
        <x:f>I30*100</x:f>
        <x:v>5121500</x:v>
      </x:c>
      <x:c r="K30" s="20"/>
      <x:c r="L30" s="19">
        <x:f>SUM(K15,K16,K18,K21,D31)</x:f>
        <x:v>24300</x:v>
      </x:c>
    </x:row>
    <x:row r="31" spans="1:7">
      <x:c r="A31" s="13" t="s">
        <x:v>20</x:v>
      </x:c>
      <x:c r="B31" s="14" t="s">
        <x:v>70</x:v>
      </x:c>
      <x:c r="C31" s="9">
        <x:f>(H15+H16)*0.8</x:f>
        <x:v>50320</x:v>
      </x:c>
      <x:c r="D31" s="6">
        <x:f>K15+K16</x:f>
        <x:v>10900</x:v>
      </x:c>
      <x:c r="E31" s="9">
        <x:f>C31-D31</x:f>
        <x:v>39420</x:v>
      </x:c>
      <x:c r="F31" s="10">
        <x:f>IFERROR(D31/C31,0)</x:f>
        <x:v>0.21661367249602545</x:v>
      </x:c>
      <x:c r="G31" s="18">
        <x:f>C31-20</x:f>
        <x:v>50300</x:v>
      </x:c>
    </x:row>
    <x:row r="32" spans="1:7">
      <x:c r="A32" s="13" t="s">
        <x:v>29</x:v>
      </x:c>
      <x:c r="B32" s="14" t="s">
        <x:v>108</x:v>
      </x:c>
      <x:c r="C32" s="9">
        <x:f>(H14+H16+H17+B10)*0.8</x:f>
        <x:v>70400</x:v>
      </x:c>
      <x:c r="D32" s="6">
        <x:f>K14+K16+K17</x:f>
        <x:v>3900</x:v>
      </x:c>
      <x:c r="E32" s="9">
        <x:f>C32-D32</x:f>
        <x:v>66500</x:v>
      </x:c>
      <x:c r="F32" s="10">
        <x:f>IFERROR(D32/C32,0)</x:f>
        <x:v>0.055397727272727272</x:v>
      </x:c>
      <x:c r="G32" s="18">
        <x:f>C32</x:f>
        <x:v>70400</x:v>
      </x:c>
    </x:row>
    <x:row r="33" spans="1:8">
      <x:c r="A33" s="13" t="s">
        <x:v>80</x:v>
      </x:c>
      <x:c r="B33" s="14" t="s">
        <x:v>104</x:v>
      </x:c>
      <x:c r="C33" s="9">
        <x:f>(H15+H16+H18+C10)*0.8</x:f>
        <x:v>98240</x:v>
      </x:c>
      <x:c r="D33" s="6">
        <x:f>K15+K16+K18</x:f>
        <x:v>12900</x:v>
      </x:c>
      <x:c r="E33" s="9">
        <x:f>C33-D33</x:f>
        <x:v>85340</x:v>
      </x:c>
      <x:c r="F33" s="10">
        <x:f>IFERROR(D33/C33,0)</x:f>
        <x:v>0.13131107491856678</x:v>
      </x:c>
      <x:c r="G33" s="18">
        <x:f>C33-40</x:f>
        <x:v>98200</x:v>
      </x:c>
      <x:c r="H33" s="18"/>
    </x:row>
    <x:row r="34" spans="1:1">
      <x:c r="A34" s="12" t="s">
        <x:v>54</x:v>
      </x:c>
    </x:row>
    <x:row r="35" spans="1:1">
      <x:c r="A35" s="12" t="s">
        <x:v>56</x:v>
      </x:c>
    </x:row>
  </x:sheetData>
  <x:pageMargins left="0.69986110925674438477" right="0.69986110925674438477" top="0.75" bottom="0.75" header="0.30000001192092895508" footer="0.30000001192092895508"/>
  <x:pageSetup paperSize="1" scale="100" firstPageNumber="1" fitToWidth="1" fitToHeight="1" orientation="portrait" usePrinterDefaults="1" blackAndWhite="0" draft="0" useFirstPageNumber="0" horizontalDpi="4294967295" verticalDpi="4294967295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C17"/>
  <x:sheetViews>
    <x:sheetView topLeftCell="A1" zoomScaleNormal="100" zoomScaleSheetLayoutView="100" workbookViewId="0">
      <x:selection activeCell="A1" activeCellId="0" sqref="A1:A1"/>
    </x:sheetView>
  </x:sheetViews>
  <x:sheetFormatPr defaultColWidth="8.88671875" defaultRowHeight="14.19999999999999928946"/>
  <x:cols>
    <x:col min="1" max="1" width="10" customWidth="1"/>
    <x:col min="2" max="2" width="30" customWidth="1"/>
    <x:col min="3" max="3" width="88" customWidth="1"/>
  </x:cols>
  <x:sheetData>
    <x:row r="1" spans="1:1" ht="41.25">
      <x:c r="A1" s="15" t="s">
        <x:v>96</x:v>
      </x:c>
    </x:row>
    <x:row r="3" spans="1:3">
      <x:c r="A3" s="16" t="s">
        <x:v>28</x:v>
      </x:c>
      <x:c r="B3" s="16" t="s">
        <x:v>21</x:v>
      </x:c>
      <x:c r="C3" s="16" t="s">
        <x:v>16</x:v>
      </x:c>
    </x:row>
    <x:row r="4" spans="1:3" ht="28" customHeight="1">
      <x:c r="A4" s="17" t="s">
        <x:v>27</x:v>
      </x:c>
      <x:c r="B4" s="17" t="s">
        <x:v>0</x:v>
      </x:c>
      <x:c r="C4" s="7" t="s">
        <x:v>68</x:v>
      </x:c>
    </x:row>
    <x:row r="5" spans="1:3" ht="28" customHeight="1">
      <x:c r="A5" s="17" t="s">
        <x:v>27</x:v>
      </x:c>
      <x:c r="B5" s="17" t="s">
        <x:v>42</x:v>
      </x:c>
      <x:c r="C5" s="7" t="s">
        <x:v>9</x:v>
      </x:c>
    </x:row>
    <x:row r="6" spans="1:3" ht="42" customHeight="1">
      <x:c r="A6" s="17" t="s">
        <x:v>27</x:v>
      </x:c>
      <x:c r="B6" s="17" t="s">
        <x:v>82</x:v>
      </x:c>
      <x:c r="C6" s="7" t="s">
        <x:v>59</x:v>
      </x:c>
    </x:row>
    <x:row r="7" spans="1:3" ht="42" customHeight="1">
      <x:c r="A7" s="17" t="s">
        <x:v>27</x:v>
      </x:c>
      <x:c r="B7" s="17" t="s">
        <x:v>37</x:v>
      </x:c>
      <x:c r="C7" s="7" t="s">
        <x:v>58</x:v>
      </x:c>
    </x:row>
    <x:row r="8" spans="1:3" ht="42" customHeight="1">
      <x:c r="A8" s="17" t="s">
        <x:v>17</x:v>
      </x:c>
      <x:c r="B8" s="17" t="s">
        <x:v>7</x:v>
      </x:c>
      <x:c r="C8" s="7" t="s">
        <x:v>62</x:v>
      </x:c>
    </x:row>
    <x:row r="9" spans="1:3" ht="28" customHeight="1">
      <x:c r="A9" s="17" t="s">
        <x:v>15</x:v>
      </x:c>
      <x:c r="B9" s="17" t="s">
        <x:v>44</x:v>
      </x:c>
      <x:c r="C9" s="7" t="s">
        <x:v>2</x:v>
      </x:c>
    </x:row>
    <x:row r="10" spans="1:3" ht="56" customHeight="1">
      <x:c r="A10" s="17" t="s">
        <x:v>87</x:v>
      </x:c>
      <x:c r="B10" s="17" t="s">
        <x:v>1</x:v>
      </x:c>
      <x:c r="C10" s="7" t="s">
        <x:v>65</x:v>
      </x:c>
    </x:row>
    <x:row r="11" spans="1:3" ht="42" customHeight="1">
      <x:c r="A11" s="17" t="s">
        <x:v>87</x:v>
      </x:c>
      <x:c r="B11" s="17" t="s">
        <x:v>51</x:v>
      </x:c>
      <x:c r="C11" s="7" t="s">
        <x:v>67</x:v>
      </x:c>
    </x:row>
    <x:row r="12" spans="1:3" ht="28" customHeight="1">
      <x:c r="A12" s="17" t="s">
        <x:v>87</x:v>
      </x:c>
      <x:c r="B12" s="17" t="s">
        <x:v>69</x:v>
      </x:c>
      <x:c r="C12" s="7" t="s">
        <x:v>105</x:v>
      </x:c>
    </x:row>
    <x:row r="13" spans="1:3" ht="28" customHeight="1">
      <x:c r="A13" s="17" t="s">
        <x:v>94</x:v>
      </x:c>
      <x:c r="B13" s="17" t="s">
        <x:v>83</x:v>
      </x:c>
      <x:c r="C13" s="7" t="s">
        <x:v>10</x:v>
      </x:c>
    </x:row>
    <x:row r="14" spans="1:3" ht="28" customHeight="1">
      <x:c r="A14" s="17" t="s">
        <x:v>94</x:v>
      </x:c>
      <x:c r="B14" s="17" t="s">
        <x:v>95</x:v>
      </x:c>
      <x:c r="C14" s="7" t="s">
        <x:v>73</x:v>
      </x:c>
    </x:row>
    <x:row r="15" spans="1:3" ht="28" customHeight="1">
      <x:c r="A15" s="17" t="s">
        <x:v>84</x:v>
      </x:c>
      <x:c r="B15" s="17" t="s">
        <x:v>106</x:v>
      </x:c>
      <x:c r="C15" s="7" t="s">
        <x:v>63</x:v>
      </x:c>
    </x:row>
    <x:row r="16" spans="1:3" ht="28" customHeight="1">
      <x:c r="A16" s="17" t="s">
        <x:v>24</x:v>
      </x:c>
      <x:c r="B16" s="17" t="s">
        <x:v>40</x:v>
      </x:c>
      <x:c r="C16" s="7" t="s">
        <x:v>11</x:v>
      </x:c>
    </x:row>
    <x:row r="17" spans="1:3" ht="16" customHeight="1">
      <x:c r="A17" s="17" t="s">
        <x:v>24</x:v>
      </x:c>
      <x:c r="B17" s="17" t="s">
        <x:v>89</x:v>
      </x:c>
      <x:c r="C17" s="7" t="s">
        <x:v>66</x:v>
      </x:c>
    </x:row>
  </x:sheetData>
  <x:pageMargins left="0.69986110925674438477" right="0.69986110925674438477" top="0.75" bottom="0.75" header="0.30000001192092895508" footer="0.30000001192092895508"/>
  <x:pageSetup paperSize="1" scale="100" firstPageNumber="1" fitToWidth="1" fitToHeight="1" orientation="portrait" usePrinterDefaults="1" blackAndWhite="0" draft="0" useFirstPageNumber="0" horizontalDpi="4294967295" verticalDpi="4294967295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가격정책</vt:lpstr>
      <vt:lpstr>검토의견</vt:lpstr>
    </vt:vector>
  </ep:TitlesOfParts>
  <ep:TotalTime>111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가격정책 검토</dc:creator>
  <cp:lastModifiedBy>glim0</cp:lastModifiedBy>
  <cp:revision>7</cp:revision>
  <dcterms:created xsi:type="dcterms:W3CDTF">2026-08-01T13:12:44.000</dcterms:created>
  <dcterms:modified xsi:type="dcterms:W3CDTF">2026-08-09T09:23:15.453</dcterms:modified>
  <cp:version>1200.0100.01</cp:version>
</cp:coreProperties>
</file>