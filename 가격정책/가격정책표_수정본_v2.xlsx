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가격정책" state="visible" r:id="rId4"/>
    <sheet sheetId="2" name="검토의견" state="visible" r:id="rId5"/>
  </sheets>
  <calcPr calcId="171027" fullCalcOnLoad="1"/>
</workbook>
</file>

<file path=xl/sharedStrings.xml><?xml version="1.0" encoding="utf-8"?>
<sst xmlns="http://schemas.openxmlformats.org/spreadsheetml/2006/main" count="122" uniqueCount="96">
  <si>
    <t>가격정책표 (수정본)</t>
  </si>
  <si>
    <t>2026-08-01 · 원가는 실측값에 여유를 두고 올린 값. 노란 칸이 이번에 바로잡은 곳.</t>
  </si>
  <si>
    <t>원가</t>
  </si>
  <si>
    <t>구분</t>
  </si>
  <si>
    <t>30-50</t>
  </si>
  <si>
    <t>100-150</t>
  </si>
  <si>
    <t>비고</t>
  </si>
  <si>
    <t>하이쿠 생성</t>
  </si>
  <si>
    <t>화면 수에 비례 · 실측 308 / 827원</t>
  </si>
  <si>
    <t>오푸스 보강(다운로드)</t>
  </si>
  <si>
    <t>화면 수에 비례 · 실측 2,645 / 9,716원</t>
  </si>
  <si>
    <t>검수 (오푸스)</t>
  </si>
  <si>
    <t>기본=1회 / 상세=여러 회. 실측: 사이트 기본 138원·상세(6페이지) 917원, 문서 기본 301원·상세 447원(2토막, 8토막 상한이면 약 1,800원)</t>
  </si>
  <si>
    <t>디자인프리셋</t>
  </si>
  <si>
    <t>AI를 쓰지 않음 — 코드에 고정된 데이터가 그대로 산출물(design-presets.ts)</t>
  </si>
  <si>
    <t>HTML 제작</t>
  </si>
  <si>
    <t>※ 이 값이 판매가인지 제작원가인지 확인 필요. 이미 만들어 둔 업종은 한계원가 0</t>
  </si>
  <si>
    <t>충전사용</t>
  </si>
  <si>
    <t>종류</t>
  </si>
  <si>
    <t>규모</t>
  </si>
  <si>
    <t xml:space="preserve">생산
(크레딧)</t>
  </si>
  <si>
    <t xml:space="preserve">다운로드
(크레딧)</t>
  </si>
  <si>
    <t xml:space="preserve">총계
(크레딧)</t>
  </si>
  <si>
    <t>생산(원)</t>
  </si>
  <si>
    <t>다운로드(원)</t>
  </si>
  <si>
    <t>총계(원)</t>
  </si>
  <si>
    <t>생산원가</t>
  </si>
  <si>
    <t>다운로드원가</t>
  </si>
  <si>
    <t>총원가</t>
  </si>
  <si>
    <t>마진(원)</t>
  </si>
  <si>
    <t>원가율</t>
  </si>
  <si>
    <t>AI팩</t>
  </si>
  <si>
    <t/>
  </si>
  <si>
    <t>AI 미사용 → 원가 0</t>
  </si>
  <si>
    <t>검수시나리오(문서)</t>
  </si>
  <si>
    <t>다운로드는 엑셀 변환뿐 — AI 미사용</t>
  </si>
  <si>
    <t>원가는 30-50과 같음. 다운로드 189는 원가 근거 없음(값 정책 판단)</t>
  </si>
  <si>
    <t>사이트 검수</t>
  </si>
  <si>
    <t>원가는 30-50과 같음. 다운로드 230은 원가 근거 없음(값 정책 판단)</t>
  </si>
  <si>
    <t>설계 대비 검수</t>
  </si>
  <si>
    <t>코드(verifyDesignVs)엔 있으나 표에 없던 상품. 다운로드 99는 가정 — 확정 필요</t>
  </si>
  <si>
    <t>※ 1크레딧 = 100원   ※ 무료 35크레딧 — 최악 조합(기본생산 12 + 사이트검수 18 = 30크레딧)이라도 원가 약 835원</t>
  </si>
  <si>
    <t>※ AI팩 구성 : 메뉴구조, IA, 기능정의서, Flow, WBS, AI 빌드 스펙팩</t>
  </si>
  <si>
    <t>※ 검수는 화면 수가 늘어도 원가가 그대로다. 규모로 값을 나누려면 코드가 화면 수를 알아야 하는데, 사이트 검수는 URL만 받아 알 수 없다(검토의견 참고)</t>
  </si>
  <si>
    <t>별도구매</t>
  </si>
  <si>
    <t>등급</t>
  </si>
  <si>
    <t>구성</t>
  </si>
  <si>
    <t>판매가</t>
  </si>
  <si>
    <t>마진</t>
  </si>
  <si>
    <t>스텐다드</t>
  </si>
  <si>
    <t>AI팩(30-50)+디자인</t>
  </si>
  <si>
    <t>플러스</t>
  </si>
  <si>
    <t>AI팩(100-150)+디자인</t>
  </si>
  <si>
    <t>디럭스</t>
  </si>
  <si>
    <t>AI팩(30-50)+디자인+검수시나리오+HTML</t>
  </si>
  <si>
    <t>프리미엄</t>
  </si>
  <si>
    <t>AI팩(100-150)+디자인+검수시나리오+HTML</t>
  </si>
  <si>
    <t>※ HTML 제작(30-50) 45,000원 / (100-150) 66,000원 — 이미 만들어 둔 업종은 한계원가 0으로 봐서 원가에 넣지 않았다</t>
  </si>
  <si>
    <t>※ 판매가는 낱개 합에 연동된 수식이다. 위 표의 크레딧을 바꾸면 등급 값도 따라 움직인다</t>
  </si>
  <si>
    <t>검토의견</t>
  </si>
  <si>
    <t>항목</t>
  </si>
  <si>
    <t>내용</t>
  </si>
  <si>
    <t>고침</t>
  </si>
  <si>
    <t>AI팩 30-50 생산원가</t>
  </si>
  <si>
    <t>3,000 → 400원. 원가 블록엔 400으로 적어두시고 이 칸에만 오푸스 값이 들어가 있었다. 마진 34,200 → 36,800원.</t>
  </si>
  <si>
    <t>디자인프리셋 원가</t>
  </si>
  <si>
    <t>400 → 0원. lib/design-presets.ts는 AI를 호출하지 않는다. 코드에 고정된 색·타이포·컴포넌트 스펙을 마크다운으로 쓸 뿐이라 모델을 바꿔도 결과가 같다. '사용버전 하이쿠' 표기도 뺐다.</t>
  </si>
  <si>
    <t>검수 원가</t>
  </si>
  <si>
    <t>30-50 3,400 → 500원 / 100-150 10,900 → 2,000원. (B) 적용 후 실측: 사이트 기본 138원 · 사이트 상세(6페이지) 917원 · 문서 기본 301원 · 문서 상세 447원(2토막). 문서를 8토막 상한까지 채우면 약 1,800원.</t>
  </si>
  <si>
    <t>검수 다운로드 원가</t>
  </si>
  <si>
    <t>오푸스 3,000/10,000 → 0원. 검수 시나리오 엑셀 변환(verify-scenario.ts)은 AI를 쓰지 않는다. 다운로드 때 다시 검수하면 사이트가 그새 바뀌었을 때 판정이 뒤집히므로, 검수는 처음부터 오푸스로 하고 다운로드 보강은 두지 않는다.</t>
  </si>
  <si>
    <t>반영</t>
  </si>
  <si>
    <t>(B) 검수를 약속대로</t>
  </si>
  <si>
    <t>예전에는 상세를 골라도 AI가 홈 HTML 하나만 3번 봤다(하위 페이지·문서 뒷부분은 아예 못 봄). 이제 사이트는 크롤한 페이지마다, 문서는 16,000자 토막마다 한 번씩 본다. 사이트 상세 기준 자동검사 7→66항목, 확인 절차 42→281개.</t>
  </si>
  <si>
    <t>추가</t>
  </si>
  <si>
    <t>코드에 verifyDesignVs(30크레딧)로 있으나 표에 없었다. 행을 넣었고 다운로드 99는 가정이니 확정이 필요하다.</t>
  </si>
  <si>
    <t>결정필요</t>
  </si>
  <si>
    <t>검수를 규모로 나누는 문제</t>
  </si>
  <si>
    <t>표는 검수를 30-50 / 100-150으로 나눠 받는데, 코드는 화면 수를 모른다. 사이트 검수는 URL만 받아 그 사이트가 몇 화면인지 알 방법이 없다. 실제로 코드가 나누는 축은 '기본 / 상세'이고 원가도 그 축으로 갈린다(기본 1회 vs 상세 6~8회). 표의 라벨을 30-50/100-150 대신 기본/상세로 바꾸는 것이 맞다.</t>
  </si>
  <si>
    <t>문서 검수 생산값이 얇다</t>
  </si>
  <si>
    <t>문서 상세를 8토막까지 채우면 원가 약 1,800원인데 생산 크레딧이 28(2,800원)이라 원가율 64%다. 다운로드까지 가면 21,700원 대비 8%로 괜찮지만, 검사만 하고 안 받는 손님에서는 얇다. 생산값을 올리거나 토막 상한(MAX_DOC_CHUNKS=8)을 줄이는 선택이 필요하다.</t>
  </si>
  <si>
    <t>검수 다운로드 189 / 230</t>
  </si>
  <si>
    <t>원가 근거는 사라졌다(엑셀 변환은 AI 미사용). 값 자체를 유지할지는 정책 판단이라 손대지 않고 그대로 두었다.</t>
  </si>
  <si>
    <t>코드반영</t>
  </si>
  <si>
    <t>생산 크레딧</t>
  </si>
  <si>
    <t>표는 12 / 28인데 코드(lib/credits.ts)는 genBasic 10 / genDetail 23이다. 사이트 검수 18 / 40도 코드엔 없고 verifySite 23 하나뿐이다.</t>
  </si>
  <si>
    <t>검수 모델</t>
  </si>
  <si>
    <t>표는 사이트 검수를 오푸스로 잡았는데 코드(claude-verifier.ts)는 아직 하이쿠다. 같은 사이트로 비교했을 때 하이쿠는 확인 화면 22개·절차 75개, 오푸스는 33개·138개였다.</t>
  </si>
  <si>
    <t>확인필요</t>
  </si>
  <si>
    <t>HTML 45,000 / 66,000</t>
  </si>
  <si>
    <t>원가 블록에 있는데 별도구매에서는 판매가로 쓰인다. 어느 쪽인지 정해야 한다. 이미 만들어 둔 업종은 한계원가 0으로 보고 등급 원가에는 넣지 않았다.</t>
  </si>
  <si>
    <t>확인</t>
  </si>
  <si>
    <t>무료 35크레딧</t>
  </si>
  <si>
    <t>안전하다. 생산이 12/28로 오르면서 여유가 더 생겼다. 최악 조합이 기본생산 12 + 사이트검수 18 = 30크레딧이고 원가는 약 835원. 가장 싼 다운로드가 99크레딧이라 무료로는 어떤 파일도 받을 수 없다.</t>
  </si>
  <si>
    <t>별도구매 합산</t>
  </si>
  <si>
    <t>네 등급 모두 낱개 합과 정확히 맞는다. 수정본에서는 수식으로 연동해 두었다.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</si>
</sst>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1F3864"/>
      <sz val="14"/>
      <name val="맑은 고딕"/>
    </font>
    <font>
      <color rgb="FF808080"/>
      <sz val="9"/>
      <name val="맑은 고딕"/>
    </font>
    <font>
      <b/>
      <color rgb="FF1F3864"/>
      <sz val="12"/>
      <name val="맑은 고딕"/>
    </font>
    <font>
      <b/>
      <sz val="10"/>
      <name val="맑은 고딕"/>
    </font>
    <font>
      <sz val="10"/>
      <name val="맑은 고딕"/>
    </font>
    <font>
      <sz val="9"/>
      <name val="맑은 고딕"/>
    </font>
    <font>
      <i/>
      <color rgb="FF808080"/>
      <sz val="9"/>
      <name val="맑은 고딕"/>
    </font>
    <font>
      <b/>
      <sz val="9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3" fontId="5" fillId="0" borderId="0" xfId="0" applyNumberFormat="1" applyFont="1"/>
    <xf numFmtId="0" fontId="6" fillId="0" borderId="0" xfId="0" applyFont="1" applyAlignment="1">
      <alignment vertical="top" wrapText="1"/>
    </xf>
    <xf numFmtId="3" fontId="5" fillId="3" borderId="0" xfId="0" applyNumberFormat="1" applyFont="1" applyFill="1"/>
    <xf numFmtId="3" fontId="4" fillId="0" borderId="0" xfId="0" applyNumberFormat="1" applyFont="1"/>
    <xf numFmtId="164" fontId="5" fillId="0" borderId="0" xfId="0" applyNumberFormat="1" applyFont="1"/>
    <xf numFmtId="0" fontId="2" fillId="0" borderId="0" xfId="0" applyFont="1" applyAlignment="1">
      <alignment vertical="top" wrapText="1"/>
    </xf>
    <xf numFmtId="0" fontId="7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FormatPr defaultRowHeight="15" outlineLevelRow="0" outlineLevelCol="0" x14ac:dyDescent="55"/>
  <cols>
    <col min="1" max="1" width="16" customWidth="1"/>
    <col min="2" max="2" width="12" customWidth="1"/>
    <col min="3" max="3" width="11" customWidth="1"/>
    <col min="4" max="5" width="12" customWidth="1"/>
    <col min="6" max="6" width="10" customWidth="1"/>
    <col min="7" max="8" width="11" customWidth="1"/>
    <col min="9" max="9" width="10" customWidth="1"/>
    <col min="10" max="10" width="11" customWidth="1"/>
    <col min="11" max="11" width="10" customWidth="1"/>
    <col min="12" max="12" width="11" customWidth="1"/>
    <col min="13" max="13" width="8" customWidth="1"/>
    <col min="14" max="14" width="5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5" t="s">
        <v>7</v>
      </c>
      <c r="B6" s="6">
        <v>400</v>
      </c>
      <c r="C6" s="6">
        <v>900</v>
      </c>
      <c r="D6" s="7" t="s">
        <v>8</v>
      </c>
    </row>
    <row r="7" spans="1:4" x14ac:dyDescent="0.25">
      <c r="A7" s="5" t="s">
        <v>9</v>
      </c>
      <c r="B7" s="6">
        <v>3000</v>
      </c>
      <c r="C7" s="6">
        <v>10000</v>
      </c>
      <c r="D7" s="7" t="s">
        <v>10</v>
      </c>
    </row>
    <row r="8" spans="1:4" x14ac:dyDescent="0.25">
      <c r="A8" s="5" t="s">
        <v>11</v>
      </c>
      <c r="B8" s="8">
        <v>500</v>
      </c>
      <c r="C8" s="8">
        <v>2000</v>
      </c>
      <c r="D8" s="7" t="s">
        <v>12</v>
      </c>
    </row>
    <row r="9" spans="1:4" x14ac:dyDescent="0.25">
      <c r="A9" s="5" t="s">
        <v>13</v>
      </c>
      <c r="B9" s="8">
        <v>0</v>
      </c>
      <c r="C9" s="8">
        <v>0</v>
      </c>
      <c r="D9" s="7" t="s">
        <v>14</v>
      </c>
    </row>
    <row r="10" spans="1:4" x14ac:dyDescent="0.25">
      <c r="A10" s="5" t="s">
        <v>15</v>
      </c>
      <c r="B10" s="6">
        <v>45000</v>
      </c>
      <c r="C10" s="6">
        <v>66000</v>
      </c>
      <c r="D10" s="7" t="s">
        <v>16</v>
      </c>
    </row>
    <row r="12" spans="1:1" x14ac:dyDescent="0.25">
      <c r="A12" s="3" t="s">
        <v>17</v>
      </c>
    </row>
    <row r="13" ht="30" customHeight="1" spans="1:14" x14ac:dyDescent="0.25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4" t="s">
        <v>25</v>
      </c>
      <c r="I13" s="4" t="s">
        <v>26</v>
      </c>
      <c r="J13" s="4" t="s">
        <v>27</v>
      </c>
      <c r="K13" s="4" t="s">
        <v>28</v>
      </c>
      <c r="L13" s="4" t="s">
        <v>29</v>
      </c>
      <c r="M13" s="4" t="s">
        <v>30</v>
      </c>
      <c r="N13" s="4" t="s">
        <v>6</v>
      </c>
    </row>
    <row r="14" spans="1:14" x14ac:dyDescent="0.25">
      <c r="A14" s="5" t="s">
        <v>31</v>
      </c>
      <c r="B14" s="5" t="s">
        <v>4</v>
      </c>
      <c r="C14" s="6">
        <v>12</v>
      </c>
      <c r="D14" s="6">
        <v>390</v>
      </c>
      <c r="E14" s="9">
        <f>C14+D14</f>
        <v>402</v>
      </c>
      <c r="F14" s="6">
        <f>C14*100</f>
        <v>1200</v>
      </c>
      <c r="G14" s="6">
        <f>D14*100</f>
        <v>39000</v>
      </c>
      <c r="H14" s="9">
        <f>F14+G14</f>
        <v>40200</v>
      </c>
      <c r="I14" s="8">
        <f>B6</f>
        <v>400</v>
      </c>
      <c r="J14" s="8">
        <f>B7</f>
        <v>3000</v>
      </c>
      <c r="K14" s="6">
        <f>I14+J14</f>
        <v>3400</v>
      </c>
      <c r="L14" s="9">
        <f>H14-K14</f>
        <v>36800</v>
      </c>
      <c r="M14" s="10">
        <f>IFERROR(K14/H14,0)</f>
        <v>0.0845771144278607</v>
      </c>
      <c r="N14" s="11" t="s">
        <v>32</v>
      </c>
    </row>
    <row r="15" spans="1:14" x14ac:dyDescent="0.25">
      <c r="A15" s="5" t="s">
        <v>31</v>
      </c>
      <c r="B15" s="5" t="s">
        <v>5</v>
      </c>
      <c r="C15" s="6">
        <v>28</v>
      </c>
      <c r="D15" s="6">
        <v>690</v>
      </c>
      <c r="E15" s="9">
        <f>C15+D15</f>
        <v>718</v>
      </c>
      <c r="F15" s="6">
        <f>C15*100</f>
        <v>2800</v>
      </c>
      <c r="G15" s="6">
        <f>D15*100</f>
        <v>69000</v>
      </c>
      <c r="H15" s="9">
        <f>F15+G15</f>
        <v>71800</v>
      </c>
      <c r="I15" s="8">
        <f>C6</f>
        <v>900</v>
      </c>
      <c r="J15" s="8">
        <f>C7</f>
        <v>10000</v>
      </c>
      <c r="K15" s="6">
        <f>I15+J15</f>
        <v>10900</v>
      </c>
      <c r="L15" s="9">
        <f>H15-K15</f>
        <v>60900</v>
      </c>
      <c r="M15" s="10">
        <f>IFERROR(K15/H15,0)</f>
        <v>0.15181058495821728</v>
      </c>
      <c r="N15" s="11" t="s">
        <v>32</v>
      </c>
    </row>
    <row r="16" spans="1:14" x14ac:dyDescent="0.25">
      <c r="A16" s="5" t="s">
        <v>13</v>
      </c>
      <c r="B16" s="5" t="s">
        <v>32</v>
      </c>
      <c r="C16" s="6">
        <v>12</v>
      </c>
      <c r="D16" s="6">
        <v>99</v>
      </c>
      <c r="E16" s="9">
        <f>C16+D16</f>
        <v>111</v>
      </c>
      <c r="F16" s="6">
        <f>C16*100</f>
        <v>1200</v>
      </c>
      <c r="G16" s="6">
        <f>D16*100</f>
        <v>9900</v>
      </c>
      <c r="H16" s="9">
        <f>F16+G16</f>
        <v>11100</v>
      </c>
      <c r="I16" s="8">
        <f>B9</f>
        <v>0</v>
      </c>
      <c r="J16" s="8">
        <v>0</v>
      </c>
      <c r="K16" s="6">
        <f>I16+J16</f>
        <v>0</v>
      </c>
      <c r="L16" s="9">
        <f>H16-K16</f>
        <v>11100</v>
      </c>
      <c r="M16" s="10">
        <f>IFERROR(K16/H16,0)</f>
        <v>0</v>
      </c>
      <c r="N16" s="11" t="s">
        <v>33</v>
      </c>
    </row>
    <row r="17" spans="1:14" x14ac:dyDescent="0.25">
      <c r="A17" s="5" t="s">
        <v>34</v>
      </c>
      <c r="B17" s="5" t="s">
        <v>4</v>
      </c>
      <c r="C17" s="6">
        <v>12</v>
      </c>
      <c r="D17" s="6">
        <v>99</v>
      </c>
      <c r="E17" s="9">
        <f>C17+D17</f>
        <v>111</v>
      </c>
      <c r="F17" s="6">
        <f>C17*100</f>
        <v>1200</v>
      </c>
      <c r="G17" s="6">
        <f>D17*100</f>
        <v>9900</v>
      </c>
      <c r="H17" s="9">
        <f>F17+G17</f>
        <v>11100</v>
      </c>
      <c r="I17" s="8">
        <f>B8</f>
        <v>500</v>
      </c>
      <c r="J17" s="8">
        <v>0</v>
      </c>
      <c r="K17" s="6">
        <f>I17+J17</f>
        <v>500</v>
      </c>
      <c r="L17" s="9">
        <f>H17-K17</f>
        <v>10600</v>
      </c>
      <c r="M17" s="10">
        <f>IFERROR(K17/H17,0)</f>
        <v>0.04504504504504504</v>
      </c>
      <c r="N17" s="11" t="s">
        <v>35</v>
      </c>
    </row>
    <row r="18" spans="1:14" x14ac:dyDescent="0.25">
      <c r="A18" s="5" t="s">
        <v>34</v>
      </c>
      <c r="B18" s="5" t="s">
        <v>5</v>
      </c>
      <c r="C18" s="6">
        <v>28</v>
      </c>
      <c r="D18" s="6">
        <v>189</v>
      </c>
      <c r="E18" s="9">
        <f>C18+D18</f>
        <v>217</v>
      </c>
      <c r="F18" s="6">
        <f>C18*100</f>
        <v>2800</v>
      </c>
      <c r="G18" s="6">
        <f>D18*100</f>
        <v>18900</v>
      </c>
      <c r="H18" s="9">
        <f>F18+G18</f>
        <v>21700</v>
      </c>
      <c r="I18" s="8">
        <f>C8</f>
        <v>2000</v>
      </c>
      <c r="J18" s="8">
        <v>0</v>
      </c>
      <c r="K18" s="6">
        <f>I18+J18</f>
        <v>2000</v>
      </c>
      <c r="L18" s="9">
        <f>H18-K18</f>
        <v>19700</v>
      </c>
      <c r="M18" s="10">
        <f>IFERROR(K18/H18,0)</f>
        <v>0.09216589861751152</v>
      </c>
      <c r="N18" s="11" t="s">
        <v>36</v>
      </c>
    </row>
    <row r="19" spans="1:14" x14ac:dyDescent="0.25">
      <c r="A19" s="5" t="s">
        <v>37</v>
      </c>
      <c r="B19" s="5" t="s">
        <v>4</v>
      </c>
      <c r="C19" s="6">
        <v>18</v>
      </c>
      <c r="D19" s="6">
        <v>99</v>
      </c>
      <c r="E19" s="9">
        <f>C19+D19</f>
        <v>117</v>
      </c>
      <c r="F19" s="6">
        <f>C19*100</f>
        <v>1800</v>
      </c>
      <c r="G19" s="6">
        <f>D19*100</f>
        <v>9900</v>
      </c>
      <c r="H19" s="9">
        <f>F19+G19</f>
        <v>11700</v>
      </c>
      <c r="I19" s="8">
        <f>B8</f>
        <v>500</v>
      </c>
      <c r="J19" s="8">
        <v>0</v>
      </c>
      <c r="K19" s="6">
        <f>I19+J19</f>
        <v>500</v>
      </c>
      <c r="L19" s="9">
        <f>H19-K19</f>
        <v>11200</v>
      </c>
      <c r="M19" s="10">
        <f>IFERROR(K19/H19,0)</f>
        <v>0.042735042735042736</v>
      </c>
      <c r="N19" s="11" t="s">
        <v>32</v>
      </c>
    </row>
    <row r="20" spans="1:14" x14ac:dyDescent="0.25">
      <c r="A20" s="5" t="s">
        <v>37</v>
      </c>
      <c r="B20" s="5" t="s">
        <v>5</v>
      </c>
      <c r="C20" s="6">
        <v>40</v>
      </c>
      <c r="D20" s="6">
        <v>230</v>
      </c>
      <c r="E20" s="9">
        <f>C20+D20</f>
        <v>270</v>
      </c>
      <c r="F20" s="6">
        <f>C20*100</f>
        <v>4000</v>
      </c>
      <c r="G20" s="6">
        <f>D20*100</f>
        <v>23000</v>
      </c>
      <c r="H20" s="9">
        <f>F20+G20</f>
        <v>27000</v>
      </c>
      <c r="I20" s="8">
        <f>C8</f>
        <v>2000</v>
      </c>
      <c r="J20" s="8">
        <v>0</v>
      </c>
      <c r="K20" s="6">
        <f>I20+J20</f>
        <v>2000</v>
      </c>
      <c r="L20" s="9">
        <f>H20-K20</f>
        <v>25000</v>
      </c>
      <c r="M20" s="10">
        <f>IFERROR(K20/H20,0)</f>
        <v>0.07407407407407407</v>
      </c>
      <c r="N20" s="11" t="s">
        <v>38</v>
      </c>
    </row>
    <row r="21" spans="1:14" x14ac:dyDescent="0.25">
      <c r="A21" s="5" t="s">
        <v>39</v>
      </c>
      <c r="B21" s="5" t="s">
        <v>32</v>
      </c>
      <c r="C21" s="6">
        <v>30</v>
      </c>
      <c r="D21" s="6">
        <v>99</v>
      </c>
      <c r="E21" s="9">
        <f>C21+D21</f>
        <v>129</v>
      </c>
      <c r="F21" s="6">
        <f>C21*100</f>
        <v>3000</v>
      </c>
      <c r="G21" s="6">
        <f>D21*100</f>
        <v>9900</v>
      </c>
      <c r="H21" s="9">
        <f>F21+G21</f>
        <v>12900</v>
      </c>
      <c r="I21" s="8">
        <f>B8</f>
        <v>500</v>
      </c>
      <c r="J21" s="8">
        <v>0</v>
      </c>
      <c r="K21" s="6">
        <f>I21+J21</f>
        <v>500</v>
      </c>
      <c r="L21" s="9">
        <f>H21-K21</f>
        <v>12400</v>
      </c>
      <c r="M21" s="10">
        <f>IFERROR(K21/H21,0)</f>
        <v>0.03875968992248062</v>
      </c>
      <c r="N21" s="11" t="s">
        <v>40</v>
      </c>
    </row>
    <row r="22" spans="1:1" x14ac:dyDescent="0.25">
      <c r="A22" s="12" t="s">
        <v>41</v>
      </c>
    </row>
    <row r="23" spans="1:1" x14ac:dyDescent="0.25">
      <c r="A23" s="12" t="s">
        <v>42</v>
      </c>
    </row>
    <row r="24" spans="1:1" x14ac:dyDescent="0.25">
      <c r="A24" s="12" t="s">
        <v>43</v>
      </c>
    </row>
    <row r="27" spans="1:1" x14ac:dyDescent="0.25">
      <c r="A27" s="3" t="s">
        <v>44</v>
      </c>
    </row>
    <row r="28" spans="1:6" x14ac:dyDescent="0.25">
      <c r="A28" s="4" t="s">
        <v>45</v>
      </c>
      <c r="B28" s="4" t="s">
        <v>46</v>
      </c>
      <c r="C28" s="4" t="s">
        <v>47</v>
      </c>
      <c r="D28" s="4" t="s">
        <v>2</v>
      </c>
      <c r="E28" s="4" t="s">
        <v>48</v>
      </c>
      <c r="F28" s="4" t="s">
        <v>30</v>
      </c>
    </row>
    <row r="29" spans="1:6" x14ac:dyDescent="0.25">
      <c r="A29" s="13" t="s">
        <v>49</v>
      </c>
      <c r="B29" s="14" t="s">
        <v>50</v>
      </c>
      <c r="C29" s="9">
        <f>H14+H16</f>
        <v>51300</v>
      </c>
      <c r="D29" s="6">
        <f>K14+K16</f>
        <v>3400</v>
      </c>
      <c r="E29" s="9">
        <f>C29-D29</f>
        <v>47900</v>
      </c>
      <c r="F29" s="10">
        <f>IFERROR(D29/C29,0)</f>
        <v>0.06627680311890838</v>
      </c>
    </row>
    <row r="30" spans="1:6" x14ac:dyDescent="0.25">
      <c r="A30" s="13" t="s">
        <v>51</v>
      </c>
      <c r="B30" s="14" t="s">
        <v>52</v>
      </c>
      <c r="C30" s="9">
        <f>H15+H16</f>
        <v>82900</v>
      </c>
      <c r="D30" s="6">
        <f>K15+K16</f>
        <v>10900</v>
      </c>
      <c r="E30" s="9">
        <f>C30-D30</f>
        <v>72000</v>
      </c>
      <c r="F30" s="10">
        <f>IFERROR(D30/C30,0)</f>
        <v>0.13148371531966224</v>
      </c>
    </row>
    <row r="31" spans="1:6" x14ac:dyDescent="0.25">
      <c r="A31" s="13" t="s">
        <v>53</v>
      </c>
      <c r="B31" s="14" t="s">
        <v>54</v>
      </c>
      <c r="C31" s="9">
        <f>H14+H16+H17+B10</f>
        <v>107400</v>
      </c>
      <c r="D31" s="6">
        <f>K14+K16+K17</f>
        <v>3900</v>
      </c>
      <c r="E31" s="9">
        <f>C31-D31</f>
        <v>103500</v>
      </c>
      <c r="F31" s="10">
        <f>IFERROR(D31/C31,0)</f>
        <v>0.036312849162011177</v>
      </c>
    </row>
    <row r="32" spans="1:6" x14ac:dyDescent="0.25">
      <c r="A32" s="13" t="s">
        <v>55</v>
      </c>
      <c r="B32" s="14" t="s">
        <v>56</v>
      </c>
      <c r="C32" s="9">
        <f>H15+H16+H18+C10</f>
        <v>170600</v>
      </c>
      <c r="D32" s="6">
        <f>K15+K16+K18</f>
        <v>12900</v>
      </c>
      <c r="E32" s="9">
        <f>C32-D32</f>
        <v>157700</v>
      </c>
      <c r="F32" s="10">
        <f>IFERROR(D32/C32,0)</f>
        <v>0.07561547479484174</v>
      </c>
    </row>
    <row r="33" spans="1:1" x14ac:dyDescent="0.25">
      <c r="A33" s="12" t="s">
        <v>57</v>
      </c>
    </row>
    <row r="34" spans="1:1" x14ac:dyDescent="0.25">
      <c r="A34" s="1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10" customWidth="1"/>
    <col min="2" max="2" width="30" customWidth="1"/>
    <col min="3" max="3" width="88" customWidth="1"/>
  </cols>
  <sheetData>
    <row r="1" spans="1:1" x14ac:dyDescent="0.25">
      <c r="A1" s="15" t="s">
        <v>59</v>
      </c>
    </row>
    <row r="3" spans="1:3" x14ac:dyDescent="0.25">
      <c r="A3" s="16" t="s">
        <v>3</v>
      </c>
      <c r="B3" s="16" t="s">
        <v>60</v>
      </c>
      <c r="C3" s="16" t="s">
        <v>61</v>
      </c>
    </row>
    <row r="4" ht="28" customHeight="1" spans="1:3" x14ac:dyDescent="0.25">
      <c r="A4" s="17" t="s">
        <v>62</v>
      </c>
      <c r="B4" s="17" t="s">
        <v>63</v>
      </c>
      <c r="C4" s="7" t="s">
        <v>64</v>
      </c>
    </row>
    <row r="5" ht="28" customHeight="1" spans="1:3" x14ac:dyDescent="0.25">
      <c r="A5" s="17" t="s">
        <v>62</v>
      </c>
      <c r="B5" s="17" t="s">
        <v>65</v>
      </c>
      <c r="C5" s="7" t="s">
        <v>66</v>
      </c>
    </row>
    <row r="6" ht="42" customHeight="1" spans="1:3" x14ac:dyDescent="0.25">
      <c r="A6" s="17" t="s">
        <v>62</v>
      </c>
      <c r="B6" s="17" t="s">
        <v>67</v>
      </c>
      <c r="C6" s="7" t="s">
        <v>68</v>
      </c>
    </row>
    <row r="7" ht="42" customHeight="1" spans="1:3" x14ac:dyDescent="0.25">
      <c r="A7" s="17" t="s">
        <v>62</v>
      </c>
      <c r="B7" s="17" t="s">
        <v>69</v>
      </c>
      <c r="C7" s="7" t="s">
        <v>70</v>
      </c>
    </row>
    <row r="8" ht="42" customHeight="1" spans="1:3" x14ac:dyDescent="0.25">
      <c r="A8" s="17" t="s">
        <v>71</v>
      </c>
      <c r="B8" s="17" t="s">
        <v>72</v>
      </c>
      <c r="C8" s="7" t="s">
        <v>73</v>
      </c>
    </row>
    <row r="9" ht="28" customHeight="1" spans="1:3" x14ac:dyDescent="0.25">
      <c r="A9" s="17" t="s">
        <v>74</v>
      </c>
      <c r="B9" s="17" t="s">
        <v>39</v>
      </c>
      <c r="C9" s="7" t="s">
        <v>75</v>
      </c>
    </row>
    <row r="10" ht="56" customHeight="1" spans="1:3" x14ac:dyDescent="0.25">
      <c r="A10" s="17" t="s">
        <v>76</v>
      </c>
      <c r="B10" s="17" t="s">
        <v>77</v>
      </c>
      <c r="C10" s="7" t="s">
        <v>78</v>
      </c>
    </row>
    <row r="11" ht="42" customHeight="1" spans="1:3" x14ac:dyDescent="0.25">
      <c r="A11" s="17" t="s">
        <v>76</v>
      </c>
      <c r="B11" s="17" t="s">
        <v>79</v>
      </c>
      <c r="C11" s="7" t="s">
        <v>80</v>
      </c>
    </row>
    <row r="12" ht="28" customHeight="1" spans="1:3" x14ac:dyDescent="0.25">
      <c r="A12" s="17" t="s">
        <v>76</v>
      </c>
      <c r="B12" s="17" t="s">
        <v>81</v>
      </c>
      <c r="C12" s="7" t="s">
        <v>82</v>
      </c>
    </row>
    <row r="13" ht="28" customHeight="1" spans="1:3" x14ac:dyDescent="0.25">
      <c r="A13" s="17" t="s">
        <v>83</v>
      </c>
      <c r="B13" s="17" t="s">
        <v>84</v>
      </c>
      <c r="C13" s="7" t="s">
        <v>85</v>
      </c>
    </row>
    <row r="14" ht="28" customHeight="1" spans="1:3" x14ac:dyDescent="0.25">
      <c r="A14" s="17" t="s">
        <v>83</v>
      </c>
      <c r="B14" s="17" t="s">
        <v>86</v>
      </c>
      <c r="C14" s="7" t="s">
        <v>87</v>
      </c>
    </row>
    <row r="15" ht="28" customHeight="1" spans="1:3" x14ac:dyDescent="0.25">
      <c r="A15" s="17" t="s">
        <v>88</v>
      </c>
      <c r="B15" s="17" t="s">
        <v>89</v>
      </c>
      <c r="C15" s="7" t="s">
        <v>90</v>
      </c>
    </row>
    <row r="16" ht="28" customHeight="1" spans="1:3" x14ac:dyDescent="0.25">
      <c r="A16" s="17" t="s">
        <v>91</v>
      </c>
      <c r="B16" s="17" t="s">
        <v>92</v>
      </c>
      <c r="C16" s="7" t="s">
        <v>93</v>
      </c>
    </row>
    <row r="17" ht="16" customHeight="1" spans="1:3" x14ac:dyDescent="0.25">
      <c r="A17" s="17" t="s">
        <v>91</v>
      </c>
      <c r="B17" s="17" t="s">
        <v>94</v>
      </c>
      <c r="C17" s="7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가격정책</vt:lpstr>
      <vt:lpstr>검토의견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가격정책 검토</dc:creator>
  <dc:title/>
  <dc:subject/>
  <dc:description/>
  <cp:keywords/>
  <cp:category/>
  <cp:lastModifiedBy>Unknown</cp:lastModifiedBy>
  <dcterms:created xsi:type="dcterms:W3CDTF">2026-08-01T12:21:56Z</dcterms:created>
  <dcterms:modified xsi:type="dcterms:W3CDTF">2026-08-01T12:21:56Z</dcterms:modified>
</cp:coreProperties>
</file>