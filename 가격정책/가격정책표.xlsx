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lim0\OneDrive\문서\Claude\Projects\02. 웹기획자\가격정책\"/>
    </mc:Choice>
  </mc:AlternateContent>
  <x:bookViews>
    <x:workbookView xWindow="0" yWindow="0" windowWidth="30468" windowHeight="124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<x:sst xmlns:r="http://schemas.openxmlformats.org/officeDocument/2006/relationships" xmlns:c="http://schemas.openxmlformats.org/drawingml/2006/chart" xmlns:x="http://schemas.openxmlformats.org/spreadsheetml/2006/main" count="79" uniqueCount="40">
  <x:si>
    <x:t>검수시나리오</x:t>
  </x:si>
  <x:si>
    <x:t>원가</x:t>
  </x:si>
  <x:si>
    <x:t>HTML</x:t>
  </x:si>
  <x:si>
    <x:t>충전사용</x:t>
  </x:si>
  <x:si>
    <x:t>30-50</x:t>
  </x:si>
  <x:si>
    <x:t>플러스</x:t>
  </x:si>
  <x:si>
    <x:t>※ AI팩구성 :  메뉴구조, IA, 기능정의서, Flow, WBS, AI 빌드 스펙팩</x:t>
  </x:si>
  <x:si>
    <x:t>※ 무료 : 35크레딧</x:t>
  </x:si>
  <x:si>
    <x:t>100-150</x:t>
  </x:si>
  <x:si>
    <x:t>사이트 검수</x:t>
  </x:si>
  <x:si>
    <x:t>사용버전</x:t>
  </x:si>
  <x:si>
    <x:t>오푸스원가</x:t>
  </x:si>
  <x:si>
    <x:t>다운로드</x:t>
  </x:si>
  <x:si>
    <x:t xml:space="preserve">AI팩(100-150)+디자인 </x:t>
  </x:si>
  <x:si>
    <x:t>구성</x:t>
  </x:si>
  <x:si>
    <x:t>판매가</x:t>
  </x:si>
  <x:si>
    <x:t>프리미엄</x:t>
  </x:si>
  <x:si>
    <x:t>디자인프리셋</x:t>
  </x:si>
  <x:si>
    <x:t xml:space="preserve">※ HTML 제작(30-50) : 45000원 / HTML 제작(100-150) : 66000원 </x:t>
  </x:si>
  <x:si>
    <x:t>하이쿠</x:t>
  </x:si>
  <x:si>
    <x:t>오푸스</x:t>
  </x:si>
  <x:si>
    <x:t>생산</x:t>
  </x:si>
  <x:si>
    <x:t>하이쿠원가</x:t>
  </x:si>
  <x:si>
    <x:t>규모</x:t>
  </x:si>
  <x:si>
    <x:t>크레딧</x:t>
  </x:si>
  <x:si>
    <x:t>원</x:t>
  </x:si>
  <x:si>
    <x:t>스텐다드</x:t>
  </x:si>
  <x:si>
    <x:t>별도구매</x:t>
  </x:si>
  <x:si>
    <x:t>총계(크레딧)</x:t>
  </x:si>
  <x:si>
    <x:t>AI팩</x:t>
  </x:si>
  <x:si>
    <x:t>디럭스</x:t>
  </x:si>
  <x:si>
    <x:t>종류</x:t>
  </x:si>
  <x:si>
    <x:t>마진(원)</x:t>
  </x:si>
  <x:si>
    <x:t>총계(원)</x:t>
  </x:si>
  <x:si>
    <x:t xml:space="preserve">AI팩(30-50)+디자인+검수시나리오+HTML </x:t>
  </x:si>
  <x:si>
    <x:t xml:space="preserve">AI팩(30-50)+디자인 </x:t>
  </x:si>
  <x:si>
    <x:t>총</x:t>
  </x:si>
  <x:si>
    <x:t>※ 1크레딧=100원</x:t>
  </x:si>
  <x:si>
    <x:t xml:space="preserve">AI팩(100-150)+디자인+검수시나리오+HTML </x:t>
  </x:si>
  <x:si>
    <x:t>등급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</x:si>
</x:sst>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_ "/>
  </x:numFmts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페이퍼로지 3 Light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페이퍼로지 3 Light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페이퍼로지 3 Light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페이퍼로지 3 Light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페이퍼로지 3 Light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페이퍼로지 3 Light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페이퍼로지 3 Light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페이퍼로지 3 Light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페이퍼로지 3 Light"/>
          <x:sz val="10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페이퍼로지 3 Light"/>
          <x:sz val="10"/>
          <x:color rgb="ff000000"/>
          <x:i val="1"/>
        </x:font>
      </mc:Fallback>
    </mc:AlternateContent>
  </x:fonts>
  <x:fills count="13">
    <x:fill>
      <x:patternFill patternType="none"/>
    </x:fill>
    <x:fill>
      <x:patternFill patternType="gray125"/>
    </x:fill>
    <x:fill>
      <x:patternFill patternType="solid">
        <x:fgColor rgb="ff67530e"/>
        <x:bgColor indexed="64"/>
      </x:patternFill>
    </x:fill>
    <x:fill>
      <x:patternFill patternType="solid">
        <x:fgColor rgb="ff3057b9"/>
        <x:bgColor indexed="64"/>
      </x:patternFill>
    </x:fill>
    <x:fill>
      <x:patternFill patternType="solid">
        <x:fgColor rgb="ff783e94"/>
        <x:bgColor indexed="64"/>
      </x:patternFill>
    </x:fill>
    <x:fill>
      <x:patternFill patternType="solid">
        <x:fgColor rgb="ff000000"/>
        <x:bgColor indexed="64"/>
      </x:patternFill>
    </x:fill>
    <x:fill>
      <x:patternFill patternType="solid">
        <x:fgColor rgb="ffdfe6f7"/>
        <x:bgColor indexed="64"/>
      </x:patternFill>
    </x:fill>
    <x:fill>
      <x:patternFill patternType="solid">
        <x:fgColor rgb="ffebdef1"/>
        <x:bgColor indexed="64"/>
      </x:patternFill>
    </x:fill>
    <x:fill>
      <x:patternFill patternType="solid">
        <x:fgColor rgb="fff4e5b2"/>
        <x:bgColor indexed="64"/>
      </x:patternFill>
    </x:fill>
    <x:fill>
      <x:patternFill patternType="solid">
        <x:fgColor rgb="ff1e7452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d1d1d1"/>
        <x:bgColor indexed="64"/>
      </x:patternFill>
    </x:fill>
    <x:fill>
      <x:patternFill patternType="solid">
        <x:fgColor rgb="fff0f0f0"/>
        <x:bgColor indexed="64"/>
      </x:patternFill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4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164" fontId="6" fillId="0" borderId="0" xfId="0" applyNumberFormat="1" applyFont="1" applyFill="1" applyBorder="1">
      <x:alignment horizontal="general" vertical="center"/>
    </x:xf>
    <x:xf numFmtId="0" fontId="6" fillId="0" borderId="0" xfId="0" applyFont="1" applyFill="1" applyBorder="1" applyAlignment="1" applyProtection="1">
      <x:alignment horizontal="general" vertical="center" wrapText="1"/>
    </x:xf>
    <x:xf numFmtId="0" fontId="6" fillId="0" borderId="0" xfId="0" applyNumberFormat="1" applyFont="1" applyFill="1" applyBorder="1" applyAlignment="1" applyProtection="1">
      <x:alignment horizontal="general" vertical="center"/>
    </x:xf>
    <x:xf numFmtId="0" fontId="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8" borderId="3" xfId="0" applyFont="1" applyFill="1" applyBorder="1">
      <x:alignment horizontal="general" vertical="center"/>
    </x:xf>
    <x:xf numFmtId="164" fontId="6" fillId="0" borderId="3" xfId="0" applyNumberFormat="1" applyFont="1" applyFill="1" applyBorder="1">
      <x:alignment horizontal="general" vertical="center"/>
    </x:xf>
    <x:xf numFmtId="164" fontId="7" fillId="6" borderId="3" xfId="0" applyNumberFormat="1" applyFont="1" applyFill="1" applyBorder="1">
      <x:alignment horizontal="general" vertical="center"/>
    </x:xf>
    <x:xf numFmtId="164" fontId="6" fillId="7" borderId="3" xfId="0" applyNumberFormat="1" applyFont="1" applyFill="1" applyBorder="1">
      <x:alignment horizontal="general" vertical="center"/>
    </x:xf>
    <x:xf numFmtId="164" fontId="9" fillId="4" borderId="3" xfId="0" applyNumberFormat="1" applyFont="1" applyFill="1" applyBorder="1">
      <x:alignment horizontal="general" vertical="center"/>
    </x:xf>
    <x:xf numFmtId="164" fontId="6" fillId="0" borderId="0" xfId="0" applyNumberFormat="1" applyFont="1">
      <x:alignment horizontal="general" vertical="center"/>
    </x:xf>
    <x:xf numFmtId="0" fontId="10" fillId="0" borderId="0" xfId="0" applyNumberFormat="1" applyFont="1" applyFill="1" applyBorder="1" applyAlignment="1" applyProtection="1">
      <x:alignment horizontal="general" vertical="center"/>
    </x:xf>
    <x:xf numFmtId="0" fontId="8" fillId="9" borderId="3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9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3" xfId="0" applyFont="1" applyFill="1" applyBorder="1" applyAlignment="1">
          <x:alignment horizontal="center" vertical="center"/>
        </x:xf>
      </mc:Fallback>
    </mc:AlternateContent>
    <x:xf numFmtId="0" fontId="6" fillId="10" borderId="3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Fill="1" applyBorder="1" applyAlignment="1" applyProtection="1">
          <x:alignment horizontal="center" vertical="center"/>
        </x:xf>
      </mc:Fallback>
    </mc:AlternateContent>
    <x:xf numFmtId="164" fontId="7" fillId="0" borderId="3" xfId="0" applyNumberFormat="1" applyFont="1" applyBorder="1">
      <x:alignment horizontal="general" vertical="center"/>
    </x:xf>
    <x:xf numFmtId="0" fontId="6" fillId="0" borderId="3" xfId="0" applyFont="1" applyBorder="1">
      <x:alignment horizontal="general" vertical="center"/>
    </x:xf>
    <x:xf numFmtId="0" fontId="6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6" fillId="0" borderId="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3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3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1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1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1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1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3" xfId="0" applyNumberFormat="1" applyFont="1" applyFill="1" applyBorder="1" applyAlignment="1" applyProtection="1">
          <x:alignment horizontal="center" vertical="center" wrapText="1"/>
        </x:xf>
      </mc:Fallback>
    </mc:AlternateContent>
    <x:xf numFmtId="58" fontId="6" fillId="0" borderId="3" xfId="0" applyNumberFormat="1" applyFont="1" applyBorder="1">
      <x:alignment horizontal="general" vertical="center"/>
    </x:xf>
    <x:xf numFmtId="0" fontId="6" fillId="0" borderId="0" xfId="0" applyFont="1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R27"/>
  <x:sheetViews>
    <x:sheetView tabSelected="1" topLeftCell="A1" zoomScaleNormal="75" zoomScaleSheetLayoutView="100" workbookViewId="0">
      <x:selection activeCell="W9" activeCellId="0" sqref="W9:W9"/>
    </x:sheetView>
  </x:sheetViews>
  <x:sheetFormatPr defaultColWidth="8.796875" defaultRowHeight="19.19999999999999928946" customHeight="1"/>
  <x:cols>
    <x:col min="1" max="1" width="2.6015625" style="1" customWidth="1"/>
    <x:col min="2" max="2" width="12.8984375" style="1" customWidth="1"/>
    <x:col min="3" max="3" width="10.3984375" style="1" customWidth="1"/>
    <x:col min="4" max="4" width="12" style="1" customWidth="1"/>
    <x:col min="5" max="5" width="13.6015625" style="1" customWidth="1"/>
    <x:col min="6" max="7" width="12" style="1" customWidth="1"/>
    <x:col min="8" max="8" width="15" style="1" customWidth="1"/>
    <x:col min="9" max="9" width="12" style="1" customWidth="1"/>
    <x:col min="10" max="10" width="11" style="1" customWidth="1"/>
    <x:col min="11" max="11" width="3.3984375" style="1" customWidth="1"/>
    <x:col min="12" max="12" width="13.30078125" style="1" customWidth="1"/>
    <x:col min="13" max="15" width="8.796875" style="1"/>
    <x:col min="16" max="17" width="8.796875" style="1" bestFit="1" customWidth="1"/>
    <x:col min="18" max="16384" width="8.796875" style="1"/>
  </x:cols>
  <x:sheetData>
    <x:row r="2" spans="2:2" customHeight="1">
      <x:c r="B2" s="5" t="s">
        <x:v>1</x:v>
      </x:c>
    </x:row>
    <x:row r="3" spans="2:8" customHeight="1">
      <x:c r="B3" s="31" t="s">
        <x:v>23</x:v>
      </x:c>
      <x:c r="C3" s="31" t="s">
        <x:v>22</x:v>
      </x:c>
      <x:c r="D3" s="31" t="s">
        <x:v>11</x:v>
      </x:c>
      <x:c r="E3" s="31" t="s">
        <x:v>2</x:v>
      </x:c>
      <x:c r="F3" s="31"/>
      <x:c r="G3" s="31"/>
      <x:c r="H3" s="31"/>
    </x:row>
    <x:row r="4" spans="2:8" customHeight="1">
      <x:c r="B4" s="42" t="s">
        <x:v>4</x:v>
      </x:c>
      <x:c r="C4" s="37">
        <x:v>400</x:v>
      </x:c>
      <x:c r="D4" s="19">
        <x:v>3000</x:v>
      </x:c>
      <x:c r="E4" s="19">
        <x:v>45000</x:v>
      </x:c>
      <x:c r="F4" s="19"/>
      <x:c r="G4" s="19"/>
      <x:c r="H4" s="19"/>
    </x:row>
    <x:row r="5" spans="2:8" customHeight="1">
      <x:c r="B5" s="31" t="s">
        <x:v>8</x:v>
      </x:c>
      <x:c r="C5" s="37">
        <x:v>900</x:v>
      </x:c>
      <x:c r="D5" s="19">
        <x:v>10000</x:v>
      </x:c>
      <x:c r="E5" s="19">
        <x:v>66000</x:v>
      </x:c>
      <x:c r="F5" s="31"/>
      <x:c r="G5" s="19"/>
      <x:c r="H5" s="19"/>
    </x:row>
    <x:row r="6" spans="2:8" customHeight="1">
      <x:c r="B6" s="43"/>
      <x:c r="C6" s="33"/>
      <x:c r="D6" s="2"/>
      <x:c r="E6" s="2"/>
      <x:c r="F6" s="43"/>
      <x:c r="G6" s="2"/>
      <x:c r="H6" s="2"/>
    </x:row>
    <x:row r="7" spans="2:9" customHeight="1">
      <x:c r="B7" s="5" t="s">
        <x:v>3</x:v>
      </x:c>
      <x:c r="C7" s="4"/>
      <x:c r="E7" s="32"/>
      <x:c r="I7" s="6"/>
    </x:row>
    <x:row r="8" spans="2:18" customHeight="1">
      <x:c r="B8" s="7" t="s">
        <x:v>31</x:v>
      </x:c>
      <x:c r="C8" s="8"/>
      <x:c r="D8" s="9" t="s">
        <x:v>24</x:v>
      </x:c>
      <x:c r="E8" s="9"/>
      <x:c r="F8" s="9"/>
      <x:c r="G8" s="10" t="s">
        <x:v>25</x:v>
      </x:c>
      <x:c r="H8" s="10"/>
      <x:c r="I8" s="10"/>
      <x:c r="J8" s="11" t="s">
        <x:v>32</x:v>
      </x:c>
      <x:c r="L8" s="34" t="s">
        <x:v>31</x:v>
      </x:c>
      <x:c r="M8" s="34"/>
      <x:c r="N8" s="9" t="s">
        <x:v>10</x:v>
      </x:c>
      <x:c r="O8" s="9"/>
      <x:c r="P8" s="39" t="s">
        <x:v>1</x:v>
      </x:c>
      <x:c r="Q8" s="40"/>
      <x:c r="R8" s="40"/>
    </x:row>
    <x:row r="9" spans="2:18" s="3" customFormat="1" ht="36" customHeight="1">
      <x:c r="B9" s="12"/>
      <x:c r="C9" s="13"/>
      <x:c r="D9" s="14" t="s">
        <x:v>21</x:v>
      </x:c>
      <x:c r="E9" s="14" t="s">
        <x:v>12</x:v>
      </x:c>
      <x:c r="F9" s="15" t="s">
        <x:v>28</x:v>
      </x:c>
      <x:c r="G9" s="16" t="s">
        <x:v>21</x:v>
      </x:c>
      <x:c r="H9" s="16" t="s">
        <x:v>12</x:v>
      </x:c>
      <x:c r="I9" s="17" t="s">
        <x:v>33</x:v>
      </x:c>
      <x:c r="J9" s="11"/>
      <x:c r="L9" s="34"/>
      <x:c r="M9" s="34"/>
      <x:c r="N9" s="14" t="s">
        <x:v>21</x:v>
      </x:c>
      <x:c r="O9" s="14" t="s">
        <x:v>12</x:v>
      </x:c>
      <x:c r="P9" s="41" t="s">
        <x:v>21</x:v>
      </x:c>
      <x:c r="Q9" s="41" t="s">
        <x:v>12</x:v>
      </x:c>
      <x:c r="R9" s="41" t="s">
        <x:v>36</x:v>
      </x:c>
    </x:row>
    <x:row r="10" spans="2:18" customHeight="1">
      <x:c r="B10" s="18" t="s">
        <x:v>29</x:v>
      </x:c>
      <x:c r="C10" s="18" t="s">
        <x:v>4</x:v>
      </x:c>
      <x:c r="D10" s="19">
        <x:v>12</x:v>
      </x:c>
      <x:c r="E10" s="19">
        <x:v>390</x:v>
      </x:c>
      <x:c r="F10" s="20">
        <x:f>SUM(D10:E10)</x:f>
        <x:v>402</x:v>
      </x:c>
      <x:c r="G10" s="21">
        <x:v>1200</x:v>
      </x:c>
      <x:c r="H10" s="21">
        <x:v>39000</x:v>
      </x:c>
      <x:c r="I10" s="22">
        <x:f>SUM(G10,H10)</x:f>
        <x:v>40200</x:v>
      </x:c>
      <x:c r="J10" s="23">
        <x:f>I10-R10</x:f>
        <x:v>34200</x:v>
      </x:c>
      <x:c r="L10" s="18" t="s">
        <x:v>29</x:v>
      </x:c>
      <x:c r="M10" s="18" t="s">
        <x:v>4</x:v>
      </x:c>
      <x:c r="N10" s="38" t="s">
        <x:v>19</x:v>
      </x:c>
      <x:c r="O10" s="38" t="s">
        <x:v>20</x:v>
      </x:c>
      <x:c r="P10" s="38">
        <x:f>D4</x:f>
        <x:v>3000</x:v>
      </x:c>
      <x:c r="Q10" s="38">
        <x:f>D4</x:f>
        <x:v>3000</x:v>
      </x:c>
      <x:c r="R10" s="19">
        <x:f>SUM(P10:Q10)</x:f>
        <x:v>6000</x:v>
      </x:c>
    </x:row>
    <x:row r="11" spans="2:18" customHeight="1">
      <x:c r="B11" s="18" t="s">
        <x:v>29</x:v>
      </x:c>
      <x:c r="C11" s="18" t="s">
        <x:v>8</x:v>
      </x:c>
      <x:c r="D11" s="19">
        <x:v>28</x:v>
      </x:c>
      <x:c r="E11" s="19">
        <x:v>690</x:v>
      </x:c>
      <x:c r="F11" s="20">
        <x:f t="shared" ref="F11:F16" si="0">SUM(D11:E11)</x:f>
        <x:v>718</x:v>
      </x:c>
      <x:c r="G11" s="21">
        <x:v>2800</x:v>
      </x:c>
      <x:c r="H11" s="21">
        <x:v>69000</x:v>
      </x:c>
      <x:c r="I11" s="22">
        <x:f>SUM(G11,H11)</x:f>
        <x:v>71800</x:v>
      </x:c>
      <x:c r="J11" s="23">
        <x:f t="shared" ref="J11:J16" si="1">I11-R11</x:f>
        <x:v>60900</x:v>
      </x:c>
      <x:c r="L11" s="18" t="s">
        <x:v>29</x:v>
      </x:c>
      <x:c r="M11" s="18" t="s">
        <x:v>8</x:v>
      </x:c>
      <x:c r="N11" s="38" t="s">
        <x:v>19</x:v>
      </x:c>
      <x:c r="O11" s="38" t="s">
        <x:v>20</x:v>
      </x:c>
      <x:c r="P11" s="38">
        <x:f>C5</x:f>
        <x:v>900</x:v>
      </x:c>
      <x:c r="Q11" s="38">
        <x:f>D5</x:f>
        <x:v>10000</x:v>
      </x:c>
      <x:c r="R11" s="19">
        <x:f t="shared" ref="R11:R16" si="2">SUM(P11:Q11)</x:f>
        <x:v>10900</x:v>
      </x:c>
    </x:row>
    <x:row r="12" spans="2:18" customHeight="1">
      <x:c r="B12" s="18" t="s">
        <x:v>17</x:v>
      </x:c>
      <x:c r="C12" s="18"/>
      <x:c r="D12" s="19">
        <x:v>12</x:v>
      </x:c>
      <x:c r="E12" s="19">
        <x:v>99</x:v>
      </x:c>
      <x:c r="F12" s="20">
        <x:f t="shared" si="0"/>
        <x:v>111</x:v>
      </x:c>
      <x:c r="G12" s="21">
        <x:v>1200</x:v>
      </x:c>
      <x:c r="H12" s="21">
        <x:v>9900</x:v>
      </x:c>
      <x:c r="I12" s="22">
        <x:f>SUM(G12,H12)</x:f>
        <x:v>11100</x:v>
      </x:c>
      <x:c r="J12" s="23">
        <x:f t="shared" si="1"/>
        <x:v>10700</x:v>
      </x:c>
      <x:c r="L12" s="18" t="s">
        <x:v>17</x:v>
      </x:c>
      <x:c r="M12" s="18"/>
      <x:c r="N12" s="35" t="s">
        <x:v>19</x:v>
      </x:c>
      <x:c r="O12" s="35"/>
      <x:c r="P12" s="35">
        <x:f>C4</x:f>
        <x:v>400</x:v>
      </x:c>
      <x:c r="Q12" s="35"/>
      <x:c r="R12" s="19">
        <x:f t="shared" si="2"/>
        <x:v>400</x:v>
      </x:c>
    </x:row>
    <x:row r="13" spans="2:18" customHeight="1">
      <x:c r="B13" s="18" t="s">
        <x:v>0</x:v>
      </x:c>
      <x:c r="C13" s="18" t="s">
        <x:v>4</x:v>
      </x:c>
      <x:c r="D13" s="19">
        <x:v>12</x:v>
      </x:c>
      <x:c r="E13" s="19">
        <x:v>99</x:v>
      </x:c>
      <x:c r="F13" s="20">
        <x:f t="shared" si="0"/>
        <x:v>111</x:v>
      </x:c>
      <x:c r="G13" s="21">
        <x:v>1200</x:v>
      </x:c>
      <x:c r="H13" s="21">
        <x:v>9900</x:v>
      </x:c>
      <x:c r="I13" s="22">
        <x:f>SUM(G13,H13)</x:f>
        <x:v>11100</x:v>
      </x:c>
      <x:c r="J13" s="23">
        <x:f>I13-R13</x:f>
        <x:v>7700</x:v>
      </x:c>
      <x:c r="L13" s="18" t="s">
        <x:v>0</x:v>
      </x:c>
      <x:c r="M13" s="18" t="s">
        <x:v>4</x:v>
      </x:c>
      <x:c r="N13" s="38" t="s">
        <x:v>19</x:v>
      </x:c>
      <x:c r="O13" s="38" t="s">
        <x:v>20</x:v>
      </x:c>
      <x:c r="P13" s="38">
        <x:f>C4</x:f>
        <x:v>400</x:v>
      </x:c>
      <x:c r="Q13" s="38">
        <x:f>D4</x:f>
        <x:v>3000</x:v>
      </x:c>
      <x:c r="R13" s="19">
        <x:f t="shared" si="2"/>
        <x:v>3400</x:v>
      </x:c>
    </x:row>
    <x:row r="14" spans="2:18" customHeight="1">
      <x:c r="B14" s="18" t="s">
        <x:v>0</x:v>
      </x:c>
      <x:c r="C14" s="18" t="s">
        <x:v>8</x:v>
      </x:c>
      <x:c r="D14" s="19">
        <x:v>28</x:v>
      </x:c>
      <x:c r="E14" s="19">
        <x:v>189</x:v>
      </x:c>
      <x:c r="F14" s="20">
        <x:f t="shared" si="0"/>
        <x:v>217</x:v>
      </x:c>
      <x:c r="G14" s="21">
        <x:v>2800</x:v>
      </x:c>
      <x:c r="H14" s="21">
        <x:v>18900</x:v>
      </x:c>
      <x:c r="I14" s="22">
        <x:f>SUM(G14,H14)</x:f>
        <x:v>21700</x:v>
      </x:c>
      <x:c r="J14" s="23">
        <x:f t="shared" si="1"/>
        <x:v>10800</x:v>
      </x:c>
      <x:c r="L14" s="18" t="s">
        <x:v>0</x:v>
      </x:c>
      <x:c r="M14" s="18" t="s">
        <x:v>8</x:v>
      </x:c>
      <x:c r="N14" s="38" t="s">
        <x:v>19</x:v>
      </x:c>
      <x:c r="O14" s="38" t="s">
        <x:v>20</x:v>
      </x:c>
      <x:c r="P14" s="38">
        <x:f>C5</x:f>
        <x:v>900</x:v>
      </x:c>
      <x:c r="Q14" s="38">
        <x:f>D5</x:f>
        <x:v>10000</x:v>
      </x:c>
      <x:c r="R14" s="19">
        <x:f t="shared" si="2"/>
        <x:v>10900</x:v>
      </x:c>
    </x:row>
    <x:row r="15" spans="2:18" customHeight="1">
      <x:c r="B15" s="18" t="s">
        <x:v>9</x:v>
      </x:c>
      <x:c r="C15" s="18" t="s">
        <x:v>4</x:v>
      </x:c>
      <x:c r="D15" s="19">
        <x:v>18</x:v>
      </x:c>
      <x:c r="E15" s="19">
        <x:v>99</x:v>
      </x:c>
      <x:c r="F15" s="20">
        <x:f t="shared" si="0"/>
        <x:v>117</x:v>
      </x:c>
      <x:c r="G15" s="21">
        <x:v>1800</x:v>
      </x:c>
      <x:c r="H15" s="21">
        <x:v>9900</x:v>
      </x:c>
      <x:c r="I15" s="22">
        <x:f>SUM(G15,H15)</x:f>
        <x:v>11700</x:v>
      </x:c>
      <x:c r="J15" s="23">
        <x:f>I15-R15</x:f>
        <x:v>8700</x:v>
      </x:c>
      <x:c r="L15" s="18" t="s">
        <x:v>9</x:v>
      </x:c>
      <x:c r="M15" s="18" t="s">
        <x:v>4</x:v>
      </x:c>
      <x:c r="N15" s="35" t="s">
        <x:v>20</x:v>
      </x:c>
      <x:c r="O15" s="35"/>
      <x:c r="P15" s="35">
        <x:f>D4</x:f>
        <x:v>3000</x:v>
      </x:c>
      <x:c r="Q15" s="35"/>
      <x:c r="R15" s="19">
        <x:f t="shared" si="2"/>
        <x:v>3000</x:v>
      </x:c>
    </x:row>
    <x:row r="16" spans="2:18" customHeight="1">
      <x:c r="B16" s="18" t="s">
        <x:v>9</x:v>
      </x:c>
      <x:c r="C16" s="18" t="s">
        <x:v>8</x:v>
      </x:c>
      <x:c r="D16" s="19">
        <x:v>40</x:v>
      </x:c>
      <x:c r="E16" s="19">
        <x:v>230</x:v>
      </x:c>
      <x:c r="F16" s="20">
        <x:f t="shared" si="0"/>
        <x:v>270</x:v>
      </x:c>
      <x:c r="G16" s="21">
        <x:v>4000</x:v>
      </x:c>
      <x:c r="H16" s="21">
        <x:v>23000</x:v>
      </x:c>
      <x:c r="I16" s="22">
        <x:f>SUM(G16,H16)</x:f>
        <x:v>27000</x:v>
      </x:c>
      <x:c r="J16" s="23">
        <x:f t="shared" si="1"/>
        <x:v>17000</x:v>
      </x:c>
      <x:c r="L16" s="18" t="s">
        <x:v>9</x:v>
      </x:c>
      <x:c r="M16" s="18" t="s">
        <x:v>8</x:v>
      </x:c>
      <x:c r="N16" s="36" t="s">
        <x:v>20</x:v>
      </x:c>
      <x:c r="O16" s="36"/>
      <x:c r="P16" s="35">
        <x:f>D5</x:f>
        <x:v>10000</x:v>
      </x:c>
      <x:c r="Q16" s="35"/>
      <x:c r="R16" s="19">
        <x:f t="shared" si="2"/>
        <x:v>10000</x:v>
      </x:c>
    </x:row>
    <x:row r="17" spans="2:2" customHeight="1">
      <x:c r="B17" s="24" t="s">
        <x:v>37</x:v>
      </x:c>
    </x:row>
    <x:row r="18" spans="2:2" customHeight="1">
      <x:c r="B18" s="24" t="s">
        <x:v>6</x:v>
      </x:c>
    </x:row>
    <x:row r="19" spans="2:2" customHeight="1">
      <x:c r="B19" s="24" t="s">
        <x:v>7</x:v>
      </x:c>
    </x:row>
    <x:row r="20" spans="2:2" customHeight="1">
      <x:c r="B20" s="24"/>
    </x:row>
    <x:row r="21" spans="2:6" customHeight="1">
      <x:c r="B21" s="5" t="s">
        <x:v>27</x:v>
      </x:c>
      <x:c r="D21" s="2"/>
      <x:c r="E21" s="2"/>
      <x:c r="F21" s="2"/>
    </x:row>
    <x:row r="22" spans="2:8" customHeight="1">
      <x:c r="B22" s="25" t="s">
        <x:v>39</x:v>
      </x:c>
      <x:c r="C22" s="26" t="s">
        <x:v>14</x:v>
      </x:c>
      <x:c r="D22" s="26"/>
      <x:c r="E22" s="26"/>
      <x:c r="F22" s="26"/>
      <x:c r="G22" s="26"/>
      <x:c r="H22" s="27" t="s">
        <x:v>15</x:v>
      </x:c>
    </x:row>
    <x:row r="23" spans="2:8" customHeight="1">
      <x:c r="B23" s="28" t="s">
        <x:v>26</x:v>
      </x:c>
      <x:c r="C23" s="29" t="s">
        <x:v>35</x:v>
      </x:c>
      <x:c r="D23" s="29"/>
      <x:c r="E23" s="29"/>
      <x:c r="F23" s="29"/>
      <x:c r="G23" s="29"/>
      <x:c r="H23" s="30">
        <x:f>SUM(I10,I12)</x:f>
        <x:v>51300</x:v>
      </x:c>
    </x:row>
    <x:row r="24" spans="2:8" customHeight="1">
      <x:c r="B24" s="28" t="s">
        <x:v>5</x:v>
      </x:c>
      <x:c r="C24" s="29" t="s">
        <x:v>13</x:v>
      </x:c>
      <x:c r="D24" s="29"/>
      <x:c r="E24" s="29"/>
      <x:c r="F24" s="29"/>
      <x:c r="G24" s="29"/>
      <x:c r="H24" s="30">
        <x:f>SUM(I11,I12)</x:f>
        <x:v>82900</x:v>
      </x:c>
    </x:row>
    <x:row r="25" spans="2:8" customHeight="1">
      <x:c r="B25" s="28" t="s">
        <x:v>30</x:v>
      </x:c>
      <x:c r="C25" s="29" t="s">
        <x:v>34</x:v>
      </x:c>
      <x:c r="D25" s="29"/>
      <x:c r="E25" s="29"/>
      <x:c r="F25" s="29"/>
      <x:c r="G25" s="29"/>
      <x:c r="H25" s="30">
        <x:f>SUM(H23,I13,E4)</x:f>
        <x:v>107400</x:v>
      </x:c>
    </x:row>
    <x:row r="26" spans="2:8" customHeight="1">
      <x:c r="B26" s="28" t="s">
        <x:v>16</x:v>
      </x:c>
      <x:c r="C26" s="29" t="s">
        <x:v>38</x:v>
      </x:c>
      <x:c r="D26" s="29"/>
      <x:c r="E26" s="29"/>
      <x:c r="F26" s="29"/>
      <x:c r="G26" s="29"/>
      <x:c r="H26" s="30">
        <x:f>SUM(H24,I14,E5)</x:f>
        <x:v>170600</x:v>
      </x:c>
    </x:row>
    <x:row r="27" spans="2:9" ht="22.19999999999999928946" customHeight="1">
      <x:c r="B27" s="24" t="s">
        <x:v>18</x:v>
      </x:c>
      <x:c r="I27" s="23"/>
    </x:row>
  </x:sheetData>
  <x:mergeCells count="18">
    <x:mergeCell ref="B8:C9"/>
    <x:mergeCell ref="D8:F8"/>
    <x:mergeCell ref="G8:I8"/>
    <x:mergeCell ref="J8:J9"/>
    <x:mergeCell ref="L8:M9"/>
    <x:mergeCell ref="N8:O8"/>
    <x:mergeCell ref="P8:R8"/>
    <x:mergeCell ref="N12:O12"/>
    <x:mergeCell ref="P12:Q12"/>
    <x:mergeCell ref="N15:O15"/>
    <x:mergeCell ref="P15:Q15"/>
    <x:mergeCell ref="N16:O16"/>
    <x:mergeCell ref="P16:Q16"/>
    <x:mergeCell ref="C22:G22"/>
    <x:mergeCell ref="C23:G23"/>
    <x:mergeCell ref="C24:G24"/>
    <x:mergeCell ref="C25:G25"/>
    <x:mergeCell ref="C26:G26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261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glim0</dc:creator>
  <cp:lastModifiedBy>glim0</cp:lastModifiedBy>
  <cp:revision>4</cp:revision>
  <dcterms:created xsi:type="dcterms:W3CDTF">2026-08-01T07:27:19.545</dcterms:created>
  <dcterms:modified xsi:type="dcterms:W3CDTF">2026-08-01T11:48:57.357</dcterms:modified>
  <cp:version>1200.0100.01</cp:version>
</cp:coreProperties>
</file>