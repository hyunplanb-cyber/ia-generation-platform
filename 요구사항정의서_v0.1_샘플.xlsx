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sjpark\Desktop\요구사항정의서_20240627.140530\"/>
    </mc:Choice>
  </mc:AlternateContent>
  <xr:revisionPtr revIDLastSave="0" documentId="13_ncr:1_{38F42AD0-F0AD-4B7C-82E1-DAEFC1B1B54A}" xr6:coauthVersionLast="47" xr6:coauthVersionMax="47" xr10:uidLastSave="{00000000-0000-0000-0000-000000000000}"/>
  <bookViews>
    <workbookView xWindow="22932" yWindow="-108" windowWidth="23256" windowHeight="12456" xr2:uid="{DFB1D1CA-7396-470B-91E3-EB44218230A5}"/>
  </bookViews>
  <sheets>
    <sheet name="요구사항정의서" sheetId="1" r:id="rId1"/>
    <sheet name="요구사항정의서_샘플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/>
  <c r="C52" i="1"/>
  <c r="C51" i="1"/>
  <c r="C49" i="1"/>
  <c r="C50" i="1"/>
  <c r="C48" i="1"/>
  <c r="C47" i="1"/>
  <c r="C46" i="1"/>
  <c r="C45" i="1"/>
  <c r="C44" i="1"/>
  <c r="C43" i="1"/>
  <c r="C42" i="1"/>
  <c r="C41" i="1"/>
  <c r="C39" i="1"/>
  <c r="C38" i="1"/>
  <c r="C40" i="1"/>
  <c r="C37" i="1"/>
  <c r="C35" i="1"/>
  <c r="C36" i="1"/>
  <c r="C34" i="1"/>
  <c r="C19" i="1"/>
  <c r="C16" i="1"/>
  <c r="C17" i="1"/>
  <c r="C18" i="1"/>
  <c r="C15" i="1"/>
  <c r="C12" i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4" i="1"/>
  <c r="C13" i="1"/>
  <c r="C11" i="1"/>
  <c r="C10" i="1"/>
  <c r="C9" i="1"/>
  <c r="C8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heejongkim</author>
  </authors>
  <commentList>
    <comment ref="C4" authorId="0" shapeId="0" xr:uid="{9A52FCED-8DF6-4D85-A4CA-63CA9C06D57C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요구사항ID 부여 기준에 따라 작성
 - level1(숫자2자리)+ level2(숫자2자리) + level3(숫자2자리) + Seq No(숫자3자리)
 - 사용예 : 010101001
              010102001
                 ~
             010201001
</t>
        </r>
      </text>
    </comment>
    <comment ref="D4" authorId="0" shapeId="0" xr:uid="{217B60DF-CD12-4030-8373-955360703428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전체 요구사항을 업무 Level 3단계로 분류
단, 영역구분을 분해할 수 없는 개별기능/비기능프로세스인 경우는 대분류, 중분류 명칭은 생략 가능하다. (단, 대분류까지의 분해는 필수)</t>
        </r>
      </text>
    </comment>
    <comment ref="J4" authorId="0" shapeId="0" xr:uid="{89D62F20-D56D-40AF-8CF5-B36A4550D9D7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요구사항이 최초 제기된 일자를 기술(YYYY-MM-DD)</t>
        </r>
      </text>
    </comment>
    <comment ref="K4" authorId="0" shapeId="0" xr:uid="{3FF8E1AE-53EE-41F9-B122-E5C924FC63D6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 유형분류
 - 1,2차 로 분류함</t>
        </r>
      </text>
    </comment>
    <comment ref="M4" authorId="0" shapeId="0" xr:uid="{3A396C45-A77C-448C-BE5B-F5913480F5B3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우선순위 : 요구사항별 고객이 느끼는 우선순위
   1.상
   2.중
   3.하 
*.상 : 반드시 완벽하게 구현하여야 하는 요구사항 또는 타 요구사항보다 선행되고 파급효과가 큰 요구사항
*.중 : 타 요구사항과 연관이 있지만, 독립적으로 구현이 가능한 경우
*.하 : 타 요구사항에 영향을 미치지 않고 독립적으로 구현이 가능한 경우</t>
        </r>
      </text>
    </comment>
    <comment ref="P4" authorId="0" shapeId="0" xr:uid="{A9656CD6-8DB3-4AEC-B710-FFA7D958F24A}">
      <text>
        <r>
          <rPr>
            <b/>
            <sz val="9"/>
            <color indexed="81"/>
            <rFont val="돋움"/>
            <family val="3"/>
            <charset val="129"/>
          </rPr>
          <t xml:space="preserve">요구사항근거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요구부서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요구자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기록</t>
        </r>
      </text>
    </comment>
    <comment ref="S4" authorId="0" shapeId="0" xr:uid="{112BAA59-D530-4BFA-AA35-880697BE879D}">
      <text>
        <r>
          <rPr>
            <b/>
            <sz val="9"/>
            <color indexed="81"/>
            <rFont val="돋움"/>
            <family val="3"/>
            <charset val="129"/>
          </rPr>
          <t>요구관리상태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정의시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보류시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삭제시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추가시</t>
        </r>
      </text>
    </comment>
    <comment ref="T4" authorId="0" shapeId="0" xr:uid="{EE632A2E-1967-432A-9A83-739F965C6222}">
      <text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추가되었을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변경일자와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간략히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기술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상태변경인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:'(YYYYMMDD)</t>
        </r>
        <r>
          <rPr>
            <b/>
            <sz val="9"/>
            <color indexed="81"/>
            <rFont val="돋움"/>
            <family val="3"/>
            <charset val="129"/>
          </rPr>
          <t>상태변경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)'
- </t>
        </r>
        <r>
          <rPr>
            <b/>
            <sz val="9"/>
            <color indexed="81"/>
            <rFont val="돋움"/>
            <family val="3"/>
            <charset val="129"/>
          </rPr>
          <t>내용변경인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'(YYYYMMDD)</t>
        </r>
        <r>
          <rPr>
            <b/>
            <sz val="9"/>
            <color indexed="81"/>
            <rFont val="돋움"/>
            <family val="3"/>
            <charset val="129"/>
          </rPr>
          <t>내용변경</t>
        </r>
        <r>
          <rPr>
            <b/>
            <sz val="9"/>
            <color indexed="81"/>
            <rFont val="Tahoma"/>
            <family val="2"/>
          </rPr>
          <t xml:space="preserve">',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기술
근거자료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회의록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회의일자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사용자검증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검증일자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공식검토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검토일자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문서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접수일자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5" authorId="0" shapeId="0" xr:uid="{07AD3D6A-B547-4A93-AD91-A42B0ECC1A0F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 1차분류
 1. S/W 요구사항
 2. 외부 I/F 요구사항
 3. 품질 요구사항
 4. 기타 요구사항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" authorId="0" shapeId="0" xr:uid="{78297BA5-F562-4130-B6AB-4321EB1C5D91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 2차 분류
 1.S/W 요구사항
   - 기능
   - 데이터
 2.외부 I/F 요구사항
   - H/W I/F
   - S/W I/F
   - 커뮤니케이션 I/F
 3.품질 요구사항
   - 보안성
   - 성능
   - 신뢰성
   - 사용성
   - 효율성
   - 유지보수성
   - 이식성
 4.기타 요구사항 
   - 기타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" authorId="0" shapeId="0" xr:uid="{3594D373-076B-4B9F-B362-8DA5051163AD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1 수용 : 요구사항을 수용함
2 보류 : 개발범위가 불분명하거나 개발환경이 미흡하여 수용여부 확정을 보류함
          다음 개발에 요구사항으로 고려 할 수 있음
3 기각(관련근거에 기각문서 기록) : 요구사항을 기각하고 관련 근거(회의, 문서)를 보관함
</t>
        </r>
      </text>
    </comment>
    <comment ref="P5" authorId="0" shapeId="0" xr:uid="{C2661024-E4D4-4CB7-9C65-5DC5C8A7471E}">
      <text>
        <r>
          <rPr>
            <b/>
            <sz val="9"/>
            <color indexed="81"/>
            <rFont val="돋움"/>
            <family val="3"/>
            <charset val="129"/>
          </rPr>
          <t xml:space="preserve">요구사항관련출처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 xml:space="preserve">과업내역서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회의록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회의일자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사용자검증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검증일자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 xml:space="preserve">요건정의서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문서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접수일자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heejongkim</author>
  </authors>
  <commentList>
    <comment ref="C4" authorId="0" shapeId="0" xr:uid="{05378BCD-65D1-4729-804A-38AD13C55FBC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요구사항ID 부여 기준에 따라 작성
 - level1(숫자2자리)+ level2(숫자2자리) + level3(숫자2자리) + Seq No(숫자3자리)
 - 사용예 : 010101001
              010102001
                 ~
             010201001
</t>
        </r>
      </text>
    </comment>
    <comment ref="D4" authorId="0" shapeId="0" xr:uid="{6F15C906-6668-4D3C-8AA6-263F3BA009B9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전체 요구사항을 업무 Level 3단계로 분류
단, 영역구분을 분해할 수 없는 개별기능/비기능프로세스인 경우는 대분류, 중분류 명칭은 생략 가능하다. (단, 대분류까지의 분해는 필수)</t>
        </r>
      </text>
    </comment>
    <comment ref="J4" authorId="0" shapeId="0" xr:uid="{3EFFC9C8-7521-4A4B-8371-1EA0CF656493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요구사항이 최초 제기된 일자를 기술(YYYY-MM-DD)</t>
        </r>
      </text>
    </comment>
    <comment ref="K4" authorId="0" shapeId="0" xr:uid="{E6AB16FE-FA45-4529-89ED-D44924F87FD6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 유형분류
 - 1,2차 로 분류함</t>
        </r>
      </text>
    </comment>
    <comment ref="M4" authorId="0" shapeId="0" xr:uid="{EDBD6602-5BAF-482D-BA07-CD1C098A9D86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우선순위 : 요구사항별 고객이 느끼는 우선순위
   1.상
   2.중
   3.하 
*.상 : 반드시 완벽하게 구현하여야 하는 요구사항 또는 타 요구사항보다 선행되고 파급효과가 큰 요구사항
*.중 : 타 요구사항과 연관이 있지만, 독립적으로 구현이 가능한 경우
*.하 : 타 요구사항에 영향을 미치지 않고 독립적으로 구현이 가능한 경우</t>
        </r>
      </text>
    </comment>
    <comment ref="P4" authorId="0" shapeId="0" xr:uid="{F96F1D87-D092-451E-91C1-0A2F039B0950}">
      <text>
        <r>
          <rPr>
            <b/>
            <sz val="9"/>
            <color indexed="81"/>
            <rFont val="돋움"/>
            <family val="3"/>
            <charset val="129"/>
          </rPr>
          <t xml:space="preserve">요구사항근거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출처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요구부서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요구자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기록</t>
        </r>
      </text>
    </comment>
    <comment ref="S4" authorId="0" shapeId="0" xr:uid="{9B1C53FE-4B03-4835-98AE-A120EC857E2F}">
      <text>
        <r>
          <rPr>
            <b/>
            <sz val="9"/>
            <color indexed="81"/>
            <rFont val="돋움"/>
            <family val="3"/>
            <charset val="129"/>
          </rPr>
          <t>요구관리상태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설정이후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상태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정의시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보류시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삭제시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베이스라인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추가시</t>
        </r>
      </text>
    </comment>
    <comment ref="T4" authorId="0" shapeId="0" xr:uid="{1C2DDA83-2AD0-4C10-97AC-365A67F7C195}">
      <text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추가되었을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변경일자와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근거를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간략히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기술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상태변경인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:'(YYYYMMDD)</t>
        </r>
        <r>
          <rPr>
            <b/>
            <sz val="9"/>
            <color indexed="81"/>
            <rFont val="돋움"/>
            <family val="3"/>
            <charset val="129"/>
          </rPr>
          <t>상태변경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)'
- </t>
        </r>
        <r>
          <rPr>
            <b/>
            <sz val="9"/>
            <color indexed="81"/>
            <rFont val="돋움"/>
            <family val="3"/>
            <charset val="129"/>
          </rPr>
          <t>내용변경인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'(YYYYMMDD)</t>
        </r>
        <r>
          <rPr>
            <b/>
            <sz val="9"/>
            <color indexed="81"/>
            <rFont val="돋움"/>
            <family val="3"/>
            <charset val="129"/>
          </rPr>
          <t>내용변경</t>
        </r>
        <r>
          <rPr>
            <b/>
            <sz val="9"/>
            <color indexed="81"/>
            <rFont val="Tahoma"/>
            <family val="2"/>
          </rPr>
          <t xml:space="preserve">', </t>
        </r>
        <r>
          <rPr>
            <b/>
            <sz val="9"/>
            <color indexed="81"/>
            <rFont val="돋움"/>
            <family val="3"/>
            <charset val="129"/>
          </rPr>
          <t>변경사항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기술
근거자료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회의록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회의일자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사용자검증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검증일자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공식검토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검토일자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문서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접수일자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5" authorId="0" shapeId="0" xr:uid="{10D32821-6BCE-486A-A537-4E0796530765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 1차분류
 1. S/W 요구사항
 2. 외부 I/F 요구사항
 3. 품질 요구사항
 4. 기타 요구사항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" authorId="0" shapeId="0" xr:uid="{67FF7891-4D07-40F3-80CE-5E3B352F3EF4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요구사항 2차 분류
 1.S/W 요구사항
   - 기능
   - 데이터
 2.외부 I/F 요구사항
   - H/W I/F
   - S/W I/F
   - 커뮤니케이션 I/F
 3.품질 요구사항
   - 보안성
   - 성능
   - 신뢰성
   - 사용성
   - 효율성
   - 유지보수성
   - 이식성
 4.기타 요구사항 
   - 기타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5" authorId="0" shapeId="0" xr:uid="{D82F21DF-083B-4E77-8CF5-5F6B9AC9161D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1 수용 : 요구사항을 수용함
2 보류 : 개발범위가 불분명하거나 개발환경이 미흡하여 수용여부 확정을 보류함
          다음 개발에 요구사항으로 고려 할 수 있음
3 기각(관련근거에 기각문서 기록) : 요구사항을 기각하고 관련 근거(회의, 문서)를 보관함
</t>
        </r>
      </text>
    </comment>
    <comment ref="P5" authorId="0" shapeId="0" xr:uid="{4E55FF55-3A6E-4969-B61E-DB2262AE8DE6}">
      <text>
        <r>
          <rPr>
            <b/>
            <sz val="9"/>
            <color indexed="81"/>
            <rFont val="돋움"/>
            <family val="3"/>
            <charset val="129"/>
          </rPr>
          <t xml:space="preserve">요구사항관련출처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 xml:space="preserve">과업내역서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회의록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회의일자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사용자검증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검증일자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 xml:space="preserve">요건정의서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문서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접수일자</t>
        </r>
        <r>
          <rPr>
            <b/>
            <sz val="9"/>
            <color indexed="81"/>
            <rFont val="Tahoma"/>
            <family val="2"/>
          </rPr>
          <t xml:space="preserve">)
 -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</text>
    </comment>
  </commentList>
</comments>
</file>

<file path=xl/sharedStrings.xml><?xml version="1.0" encoding="utf-8"?>
<sst xmlns="http://schemas.openxmlformats.org/spreadsheetml/2006/main" count="1002" uniqueCount="216">
  <si>
    <t>요구사항 정의서</t>
    <phoneticPr fontId="3" type="noConversion"/>
  </si>
  <si>
    <t>Seq</t>
  </si>
  <si>
    <r>
      <t xml:space="preserve">요구사항 ID
</t>
    </r>
    <r>
      <rPr>
        <b/>
        <i/>
        <sz val="10"/>
        <color theme="1"/>
        <rFont val="맑은 고딕"/>
        <family val="3"/>
        <charset val="129"/>
        <scheme val="minor"/>
      </rPr>
      <t>nn(대)+nn(중)+nn(소)+nnn(일련번호)</t>
    </r>
    <phoneticPr fontId="3" type="noConversion"/>
  </si>
  <si>
    <t>업무분류</t>
    <phoneticPr fontId="3" type="noConversion"/>
  </si>
  <si>
    <t>요구정의명</t>
  </si>
  <si>
    <t>고객 요구사항 상세 내용</t>
    <phoneticPr fontId="3" type="noConversion"/>
  </si>
  <si>
    <t>제약사항</t>
    <phoneticPr fontId="3" type="noConversion"/>
  </si>
  <si>
    <t>요건발생일
(YYYY-MM-DD)</t>
    <phoneticPr fontId="3" type="noConversion"/>
  </si>
  <si>
    <t>요구사항유형분류</t>
  </si>
  <si>
    <t>우선
순위</t>
  </si>
  <si>
    <t>요구사항수용여부</t>
    <phoneticPr fontId="3" type="noConversion"/>
  </si>
  <si>
    <t>요구사항근거</t>
  </si>
  <si>
    <t>요구관리
상태</t>
    <phoneticPr fontId="3" type="noConversion"/>
  </si>
  <si>
    <t>변경이력</t>
    <phoneticPr fontId="3" type="noConversion"/>
  </si>
  <si>
    <t>승인기준</t>
    <phoneticPr fontId="3" type="noConversion"/>
  </si>
  <si>
    <t>관련팀명</t>
    <phoneticPr fontId="3" type="noConversion"/>
  </si>
  <si>
    <t>업무(대)</t>
  </si>
  <si>
    <t>기능(중)</t>
  </si>
  <si>
    <t>구성(소)</t>
  </si>
  <si>
    <t>분류</t>
    <phoneticPr fontId="3" type="noConversion"/>
  </si>
  <si>
    <t>유형</t>
    <phoneticPr fontId="3" type="noConversion"/>
  </si>
  <si>
    <t>수용
여부</t>
  </si>
  <si>
    <t>보류 / 기각
사유</t>
    <phoneticPr fontId="3" type="noConversion"/>
  </si>
  <si>
    <t>출처</t>
  </si>
  <si>
    <t>고객소속팀명</t>
    <phoneticPr fontId="3" type="noConversion"/>
  </si>
  <si>
    <t>고객담당자</t>
  </si>
  <si>
    <t>10.생활인구</t>
    <phoneticPr fontId="3" type="noConversion"/>
  </si>
  <si>
    <t>10.빅사이트포털</t>
    <phoneticPr fontId="3" type="noConversion"/>
  </si>
  <si>
    <t>10.생활인구분석솔루션 링크</t>
  </si>
  <si>
    <t>001.생활인구&gt;빅사이트포털&gt;생활인구분석솔루션 링크</t>
    <phoneticPr fontId="3" type="noConversion"/>
  </si>
  <si>
    <t>ㅇ "생활인구분석솔루션" 이미지/링크
ㅇ 링크 클릭 시 "생활인구분석솔루션" 페이지로 넘어가고
   - 대시보드/지표분석/GIS분석/시나리오분석 메뉴 구성
   - DashBoard 화면 조회</t>
    <phoneticPr fontId="3" type="noConversion"/>
  </si>
  <si>
    <t>S/W요구사항</t>
  </si>
  <si>
    <t>기능</t>
  </si>
  <si>
    <t>상</t>
    <phoneticPr fontId="3" type="noConversion"/>
  </si>
  <si>
    <t>수용</t>
    <phoneticPr fontId="3" type="noConversion"/>
  </si>
  <si>
    <t>과업내역서</t>
    <phoneticPr fontId="3" type="noConversion"/>
  </si>
  <si>
    <t>빅데이터사업팀</t>
    <phoneticPr fontId="3" type="noConversion"/>
  </si>
  <si>
    <t>이정숙</t>
  </si>
  <si>
    <t>신규</t>
  </si>
  <si>
    <t>20.소개페이지</t>
    <phoneticPr fontId="3" type="noConversion"/>
  </si>
  <si>
    <t>001.생활인구&gt;빅사이트포털&gt;소개 컨텐츠</t>
    <phoneticPr fontId="3" type="noConversion"/>
  </si>
  <si>
    <t>ㅇ 빅사이트포털 &gt; 소개컨텐츠 
ㅇ 클릭 시 "생활인구분석솔루션" 소개</t>
    <phoneticPr fontId="3" type="noConversion"/>
  </si>
  <si>
    <t>20.메인화면</t>
    <phoneticPr fontId="3" type="noConversion"/>
  </si>
  <si>
    <t>10.DashBoard</t>
  </si>
  <si>
    <t>001.생활인구&gt;메인화면&gt;DashBoard&gt;전국/시도/시군구/읍면동</t>
    <phoneticPr fontId="3" type="noConversion"/>
  </si>
  <si>
    <t>생활인구 전체 보관주기 12개월
일/시간 데이터를 월 평균
샘플 파일 제공 파일 업로드 쉘 개발</t>
    <phoneticPr fontId="3" type="noConversion"/>
  </si>
  <si>
    <t>20.부가기능</t>
    <phoneticPr fontId="3" type="noConversion"/>
  </si>
  <si>
    <t>001.생활인구&gt;부가기능/다운로드, 테마설정</t>
    <phoneticPr fontId="3" type="noConversion"/>
  </si>
  <si>
    <t>30.지표분석</t>
    <phoneticPr fontId="3" type="noConversion"/>
  </si>
  <si>
    <t>001.생활인구&gt;지표분석&gt;생활인구&gt;전국/시도/시군구/읍면동/생활권지역</t>
    <phoneticPr fontId="3" type="noConversion"/>
  </si>
  <si>
    <t>20.법제화생활인구</t>
    <phoneticPr fontId="3" type="noConversion"/>
  </si>
  <si>
    <t>001.생활인구&gt;지표분석&gt;법제화생활인구&gt;전국/시도/시군구/읍면동/생활권지역</t>
    <phoneticPr fontId="3" type="noConversion"/>
  </si>
  <si>
    <t>30.유니크생활인구</t>
    <phoneticPr fontId="3" type="noConversion"/>
  </si>
  <si>
    <t>001.생활인구&gt;지표분석&gt;유니크생활인구&gt;시도/시군구/읍면동/생활권지역</t>
    <phoneticPr fontId="3" type="noConversion"/>
  </si>
  <si>
    <t>40.목적별이동인구</t>
    <phoneticPr fontId="3" type="noConversion"/>
  </si>
  <si>
    <t>001.생활인구&gt;지표분석&gt;목적별이동인구&gt;시도/시군구/읍면동/생활권지역</t>
    <phoneticPr fontId="3" type="noConversion"/>
  </si>
  <si>
    <t>50.이동수단별이동인구</t>
    <phoneticPr fontId="3" type="noConversion"/>
  </si>
  <si>
    <t>001.생활인구&gt;지표분석&gt;이동수단별이동인구&gt;시도/시군구/읍면동/생활권지역</t>
    <phoneticPr fontId="3" type="noConversion"/>
  </si>
  <si>
    <t>60.유동인구</t>
    <phoneticPr fontId="3" type="noConversion"/>
  </si>
  <si>
    <t>001.생활인구&gt;지표분석&gt;유동인구&gt;시도/시군구/읍면동/생활권지역</t>
    <phoneticPr fontId="3" type="noConversion"/>
  </si>
  <si>
    <t>70.부가기능</t>
    <phoneticPr fontId="3" type="noConversion"/>
  </si>
  <si>
    <t>001.생활인구&gt;지표분석&gt;부가기능&gt;즐겨찾기설정, 보고서다운기능</t>
    <phoneticPr fontId="3" type="noConversion"/>
  </si>
  <si>
    <t>40.GIS분석</t>
    <phoneticPr fontId="3" type="noConversion"/>
  </si>
  <si>
    <t>001.생활인구&gt;GIS분석&gt;생활인구&gt;전국/시도/시군구/읍면동/생활권지역</t>
  </si>
  <si>
    <t>001.생활인구&gt;GIS분석&gt;법제화생활인구&gt;전국/시도/시군구/읍면동/생활권지역</t>
  </si>
  <si>
    <t>001.생활인구&gt;GIS분석&gt;유니크생활인구&gt;시도/시군구/읍면동/생활권지역</t>
  </si>
  <si>
    <t>001.생활인구&gt;GIS분석&gt;목적별이동인구&gt;시도/시군구/읍면동/생활권지역</t>
  </si>
  <si>
    <t>001.생활인구&gt;GIS분석&gt;이동수단별이동인구&gt;시도/시군구/읍면동/생활권지역</t>
  </si>
  <si>
    <t>001.생활인구&gt;GIS분석&gt;유동인구&gt;시도/시군구/읍면동/생활권지역</t>
  </si>
  <si>
    <t>ㅇ 검색 조건 UI 구성 변경 가능</t>
    <phoneticPr fontId="3" type="noConversion"/>
  </si>
  <si>
    <t>001.생활인구&gt;GIS분석&gt;부가기능&gt;격자보기, 다운로드</t>
  </si>
  <si>
    <t>50.시나리오분석</t>
    <phoneticPr fontId="3" type="noConversion"/>
  </si>
  <si>
    <t>10.분석조회</t>
    <phoneticPr fontId="3" type="noConversion"/>
  </si>
  <si>
    <t>001.생활인구&gt;시나리오분석&gt;분석조회&gt;데이터설정, 다운로드</t>
    <phoneticPr fontId="3" type="noConversion"/>
  </si>
  <si>
    <t>20.생활인구_관리자</t>
    <phoneticPr fontId="3" type="noConversion"/>
  </si>
  <si>
    <t>10.공통</t>
    <phoneticPr fontId="3" type="noConversion"/>
  </si>
  <si>
    <t>10.관리자설정</t>
    <phoneticPr fontId="3" type="noConversion"/>
  </si>
  <si>
    <t>001.관리자조회/등록</t>
    <phoneticPr fontId="3" type="noConversion"/>
  </si>
  <si>
    <t>20.이용통계</t>
    <phoneticPr fontId="3" type="noConversion"/>
  </si>
  <si>
    <t>001.고객사/등급별/메뉴별/사용자별 이용통계</t>
    <phoneticPr fontId="3" type="noConversion"/>
  </si>
  <si>
    <t>20.회원</t>
    <phoneticPr fontId="3" type="noConversion"/>
  </si>
  <si>
    <t>10.생활인구관리</t>
    <phoneticPr fontId="3" type="noConversion"/>
  </si>
  <si>
    <t>001.생활인구조회/관리</t>
    <phoneticPr fontId="3" type="noConversion"/>
  </si>
  <si>
    <t>30.사용자관리</t>
    <phoneticPr fontId="3" type="noConversion"/>
  </si>
  <si>
    <t>001.사용자조회/등록</t>
    <phoneticPr fontId="3" type="noConversion"/>
  </si>
  <si>
    <t>30.생활인구_KPOP</t>
    <phoneticPr fontId="3" type="noConversion"/>
  </si>
  <si>
    <t>10.수집</t>
    <phoneticPr fontId="3" type="noConversion"/>
  </si>
  <si>
    <t>001.수집</t>
  </si>
  <si>
    <t>데이터</t>
  </si>
  <si>
    <t>20.통합</t>
    <phoneticPr fontId="3" type="noConversion"/>
  </si>
  <si>
    <t>10.통합</t>
    <phoneticPr fontId="3" type="noConversion"/>
  </si>
  <si>
    <t>001.통합</t>
  </si>
  <si>
    <t>30.마트</t>
    <phoneticPr fontId="3" type="noConversion"/>
  </si>
  <si>
    <t>10.마트</t>
    <phoneticPr fontId="3" type="noConversion"/>
  </si>
  <si>
    <t>001.마트</t>
  </si>
  <si>
    <t>40.전송</t>
    <phoneticPr fontId="3" type="noConversion"/>
  </si>
  <si>
    <t>10.전송</t>
    <phoneticPr fontId="3" type="noConversion"/>
  </si>
  <si>
    <t>001.전송</t>
  </si>
  <si>
    <t>40.생활인구_BDIP</t>
    <phoneticPr fontId="3" type="noConversion"/>
  </si>
  <si>
    <t>50.생활인구_관리자_DB</t>
    <phoneticPr fontId="3" type="noConversion"/>
  </si>
  <si>
    <t>10.관리자DB</t>
    <phoneticPr fontId="3" type="noConversion"/>
  </si>
  <si>
    <t>001.관리자DB 구축</t>
    <phoneticPr fontId="3" type="noConversion"/>
  </si>
  <si>
    <t>60.신규클러스터구축</t>
    <phoneticPr fontId="3" type="noConversion"/>
  </si>
  <si>
    <t>10.기타</t>
    <phoneticPr fontId="3" type="noConversion"/>
  </si>
  <si>
    <t>001.기타</t>
    <phoneticPr fontId="3" type="noConversion"/>
  </si>
  <si>
    <t>기타요구사항</t>
  </si>
  <si>
    <t>기타</t>
  </si>
  <si>
    <t>70.SSO인증 구축</t>
    <phoneticPr fontId="3" type="noConversion"/>
  </si>
  <si>
    <r>
      <t xml:space="preserve">ㅇ 검색조건 : 전국, 시도, 시군구, 읍면동
ㅇ 권한 : 전체.
</t>
    </r>
    <r>
      <rPr>
        <sz val="10"/>
        <color rgb="FFFF0000"/>
        <rFont val="맑은 고딕"/>
        <family val="3"/>
        <charset val="129"/>
        <scheme val="minor"/>
      </rPr>
      <t>ㅇ 전국 생활인구 요약(8월 29일)
  - 전국 생활인구 SUM, 외국인 장기 생활인구 SUM, 외국인 단기 생활인구 SUM</t>
    </r>
    <r>
      <rPr>
        <sz val="10"/>
        <rFont val="맑은 고딕"/>
        <family val="3"/>
        <charset val="129"/>
        <scheme val="minor"/>
      </rPr>
      <t xml:space="preserve">
ㅇ 전국 내국인 생활인구 현황
  - 광역시도별 내국인 거주자수, 방문자수 차트
ㅇ 전국 외국인 생활인구 현황
  - 광역시도별 외국인 거주자수, 방문자수 차트
ㅇ 광역시도별 내국인 생활인구 현황
  - 광역시도별 거주인구수, 방문인구수, 주민등록인구 대비 비율
    * 주민등록인구 대비 비율 : 거주인구+방문인구 합에 대한 비율
ㅇ 광역시도별 외국인 생활인구 현황
  - 광역시도별 장기체류수, 단기체류수, 국적별 top3 장기/단기체류수
</t>
    </r>
    <r>
      <rPr>
        <sz val="10"/>
        <color rgb="FFFF0000"/>
        <rFont val="맑은 고딕"/>
        <family val="3"/>
        <charset val="129"/>
        <scheme val="minor"/>
      </rPr>
      <t xml:space="preserve">  - 외국인 장기/단기 합으로 TOP 3 순위 지정(9월 7일)</t>
    </r>
    <phoneticPr fontId="3" type="noConversion"/>
  </si>
  <si>
    <r>
      <t xml:space="preserve">ㅇ "시도별현황" 메뉴 구성. 해당 페이지내 조건 구현
ㅇ 사용권한 : 시도권한
ㅇ 지역선택 : 조건에서 광역시도 선택, 지도에서 광역시도 선택
ㅇ 기준년월 선택 : 제공데이타 최종월 기본 설정. 변경 선택 가능.
ㅇ 조회시 "생활인구추이"/"방문인구정보"/"외국인생활인구" 페이지 조회
ㅇ "생활인구추이"/"방문인구정보"/"외국인생활인구" 페이지는 시도별현황 검색조건 하단에 순차적으로 나열 또는 탭으로 구성.
</t>
    </r>
    <r>
      <rPr>
        <sz val="10"/>
        <color rgb="FFFF0000"/>
        <rFont val="맑은 고딕"/>
        <family val="3"/>
        <charset val="129"/>
        <scheme val="minor"/>
      </rPr>
      <t>ㅇ 시도별현황 생활인구 요약(8월 29일)
- 일일평균 생활인구, 일일최대 생활인구, 일일최소 생활인구, 주간(09~18) 생활인구, 야간(00~06) 생활인구</t>
    </r>
    <phoneticPr fontId="3" type="noConversion"/>
  </si>
  <si>
    <t>ㅇ 리포트명 : 일별 생활인구 현황
ㅇ 기본조건 : 광역시도, 기준년월
ㅇ 데이터
  - 내국인 : 일자별 인구수
  - 외국인 : 일자별 장기체류 인구수, 단기체류 인구수</t>
    <phoneticPr fontId="3" type="noConversion"/>
  </si>
  <si>
    <t>ㅇ 리포트명 : 성별/연령대별 생활인구 현황
ㅇ 기본조건 : 광역시도, 기준년월
ㅇ 추가조건 : 성별구분.(남자/여자/전체 라디오버튼 또는 남자/여자 체크박스)
ㅇ 데이터 : 선택된 성별(또는 전체) 에 대하여 연령대별 인구수 제공</t>
    <phoneticPr fontId="3" type="noConversion"/>
  </si>
  <si>
    <t>ㅇ 리포트명 : 시간대별/요일별 생활인구 현황
ㅇ 기본조건 : 광역시도, 기준년월
ㅇ 데이터 : 시간대별 (월~일)요일 인구수 추이</t>
    <phoneticPr fontId="3" type="noConversion"/>
  </si>
  <si>
    <t>ㅇ 리포트명 : 주중.주말별/연령대별 생활인구 현황
ㅇ 기본조건 : 광역시도, 기준년월
ㅇ 추가조건 
  - 주중/주말-라디오버튼
  - 연령선택-체크박스. 선택개수 제한없음.
    연령구분 : 0~9, 10~14, 15~20, ….75~79, 80이상
ㅇ 데이터 : 주중/주말별 연령대별 시간대별 인구수 제공</t>
    <phoneticPr fontId="3" type="noConversion"/>
  </si>
  <si>
    <t>ㅇ 시도별현황&gt;생활인구추이 데이터를 표 형태로 엑셀 다운로드 기능 구현
 - 일별 생활인구 추이-내국인/외국인
 - 연령별/성별 생활인구
 - 시간대별 요일별 생활인구 추이
 - 주중/주말 연령별 추이</t>
    <phoneticPr fontId="3" type="noConversion"/>
  </si>
  <si>
    <t>ㅇ 리포트명 : 시간대별 거주인구.방문인구 현황
ㅇ 기본조건 : 광역시도, 기준년월
ㅇ 데이터 : 시간대별 거주인구수, 시간대별 방문인구수</t>
    <phoneticPr fontId="3" type="noConversion"/>
  </si>
  <si>
    <t>ㅇ 리포트명 : 거주지역별 방문인구 현황
ㅇ 기본조건 : 광역시도, 기준년월
ㅇ 데이터 : 거주지역(광역시도)별 방문자수</t>
    <phoneticPr fontId="3" type="noConversion"/>
  </si>
  <si>
    <t>ㅇ 리포트명 : 정기.비정기 방문인구 현황
ㅇ 기본조건 : 광역시도, 기준년월
ㅇ 데이터 : 시간대별 정기 방문객수, 시간대별 비정기 방문객수</t>
    <phoneticPr fontId="3" type="noConversion"/>
  </si>
  <si>
    <t>ㅇ 리포트명 : 거주지역별 방문인구 숙박현황
ㅇ 기본조건 : 광역시도, 기준년월
ㅇ 데이터 : 거주지역별 무박 방문인구수, 거주지역별 숙박 방문인구수</t>
    <phoneticPr fontId="3" type="noConversion"/>
  </si>
  <si>
    <t>ㅇ 시도별현황&gt;방문인구정보 데이터를 표 형태로 엑셀 다운로드
 - 시간대별 거주인구와 방문인구 비교
 - 방문인구의 거주지역
 - 방문인구 정기/비정기 유형
 - 방문인구 숙박비중</t>
    <phoneticPr fontId="3" type="noConversion"/>
  </si>
  <si>
    <r>
      <t xml:space="preserve">ㅇ 리포트명 : 국적별 외국인 생활인구 현황
ㅇ 기본조건 : 광역시도, 기준년월
ㅇ 데이터
  - 장기체류 : 국가별 인구수 TOP 20 제공. 다운로드는 전체
  - 단기체류 : 국가별 인구수 TOP 20 제공. 다운로드는 전체
</t>
    </r>
    <r>
      <rPr>
        <sz val="10"/>
        <color rgb="FFFF0000"/>
        <rFont val="맑은 고딕"/>
        <family val="3"/>
        <charset val="129"/>
        <scheme val="minor"/>
      </rPr>
      <t>==&gt; 차트를 장기/단기 각각 표현(관리하는 국가가 달라 각각 표현키로 함)(9월 7일)</t>
    </r>
    <phoneticPr fontId="3" type="noConversion"/>
  </si>
  <si>
    <t>ㅇ 시도별현황&gt;외국인 생활인구추이 데이터를 표 형태로 엑셀 다운로드 기능 구현
 - 지역별 외국인 생활인구</t>
    <phoneticPr fontId="3" type="noConversion"/>
  </si>
  <si>
    <r>
      <t xml:space="preserve">ㅇ "지자체별 현황" 메뉴 구성. 해당 페이지내 조건 구현
ㅇ 사용권한 : 시도권한, 시군구별권한
ㅇ 시군구별/읍면동별 라디오버튼
  - 시군구별 선택시, 지역선택 읍면동 선택 불가. 시군구 선택시 자동조회
  - 읍면동별 선택시, 지역선택 읍면동 선택 가능. 읍면동 선택시 자동조회
  - 시군구별 권한 보유 시, 읍면동별 자동 선택
ㅇ 지역선택
  - 광역시도 : 보유권한에 해당하는 광역시도 기본 선택.
  - 시군구 : 체크박스. 다중선택 가능. 시군구권한인 경우 시군구 자동 선택.
  - 읍면동 : 다중선택된 시군구 내 읍면동 전체 리스트 제공. 다중선택 가능.
ㅇ 기준년월 선택 : 제공데이타 최종월 기본 설정. 변경 선택 가능. 
ㅇ 조회시 "전체현황"/"생활인구추이"/"방문인구정보"/"외국인생활인구" 페이지 조회
ㅇ "전체현황"/"생활인구추이"/"방문인구정보"/"외국인생활인구" 페이지는 검색조건 하단에 순차적으로 나열 또는 탭으로 구성.
</t>
    </r>
    <r>
      <rPr>
        <sz val="10"/>
        <color rgb="FFFF0000"/>
        <rFont val="맑은 고딕"/>
        <family val="3"/>
        <charset val="129"/>
        <scheme val="minor"/>
      </rPr>
      <t>ㅇ 지자체별 생활인구 요약(8월 29일)
- 일일평균 생활인구, 일일최대 생활인구, 일일최소 생활인구, 주간(09~18) 생활인구, 야간(00~06) 생활인구</t>
    </r>
    <phoneticPr fontId="3" type="noConversion"/>
  </si>
  <si>
    <t>ㅇ 리포트명 : 지역별 내국인 생활인구 현황
ㅇ 기본조건 : 시군구(다수) 또는 읍변동(다수), 기준년월
ㅇ 데이터 : 시군구별(읍면동별) 내국인 생활인구 수</t>
    <phoneticPr fontId="3" type="noConversion"/>
  </si>
  <si>
    <t>ㅇ 리포트명 : 지역별 외국인 생활인구 현황
ㅇ 기본조건 : 시군구(다수) 또는 읍변동(다수), 기준년월
ㅇ 데이터 : 시군구별(읍면동별) 내국인 생활인구 수</t>
    <phoneticPr fontId="3" type="noConversion"/>
  </si>
  <si>
    <t>ㅇ 생활인구 권한 관리 기능 구축
 - 시군구 복수 권한 보유 가능(비교용)
 - 그외 관광과 동일하게 구현</t>
    <phoneticPr fontId="3" type="noConversion"/>
  </si>
  <si>
    <t>ㅇ KDAP에서 신규 클러스터(LIVE)로 생활인구 소스 데이터 수집</t>
    <phoneticPr fontId="3" type="noConversion"/>
  </si>
  <si>
    <t>ㅇ KDAP에서 수집한 데이터를 통합 적재</t>
    <phoneticPr fontId="3" type="noConversion"/>
  </si>
  <si>
    <t>ㅇ BDIP 제공용 마트 테이블 구축</t>
    <phoneticPr fontId="3" type="noConversion"/>
  </si>
  <si>
    <t>ㅇ 생활인구 정보 BDIP 전송</t>
    <phoneticPr fontId="3" type="noConversion"/>
  </si>
  <si>
    <t>ㅇ KDAP_LIVE에서 전송한 파일을 테이블에 LOAD</t>
    <phoneticPr fontId="3" type="noConversion"/>
  </si>
  <si>
    <t>ㅇ KDAP_LIVE 수집 데이터를 통합 적재</t>
    <phoneticPr fontId="3" type="noConversion"/>
  </si>
  <si>
    <t>ㅇ BDIP 생활인구 마트 구축</t>
    <phoneticPr fontId="3" type="noConversion"/>
  </si>
  <si>
    <t>ㅇ 생활인구 권환 관리 DB 구축
 - 시군구 복수 권한 보유 가능(비교용)
 - 그외 관광과 동일하게 구현</t>
    <phoneticPr fontId="3" type="noConversion"/>
  </si>
  <si>
    <t>ㅇ 전국생활인구 신규 클러스터 구축 ( 총 46대 )
ㅇ BDAP 의 서울시 생활인구 데이터 및 W/F 를 전국생활인구 신규 클러스터로 이관
ㅇ 전국생활인구 신규 클러스터의 튜닝
ㅇ 전국생활인구 신규 클러스터의 시스템 트러블 슈팅</t>
    <phoneticPr fontId="3" type="noConversion"/>
  </si>
  <si>
    <t>ㅇ "생활인구분석솔루션" 이미지/링크
ㅇ 링크 클릭 시 "생활인구분석솔루션" 페이지로 넘어가고
   - 종합현황분석/GIS분석/생활인구분석/법제화생활인구분석/생활이동인구분석 메뉴 구성
   - 종합현황분석 화면 조회</t>
    <phoneticPr fontId="3" type="noConversion"/>
  </si>
  <si>
    <t>10.종합현황분석</t>
    <phoneticPr fontId="2" type="noConversion"/>
  </si>
  <si>
    <t>001.생활인구&gt;종합현황분석&gt;시도/시군구/읍면동</t>
    <phoneticPr fontId="3" type="noConversion"/>
  </si>
  <si>
    <t>30.GIS분석</t>
    <phoneticPr fontId="3" type="noConversion"/>
  </si>
  <si>
    <t>40.생활인구분석</t>
    <phoneticPr fontId="3" type="noConversion"/>
  </si>
  <si>
    <t>50.법제화생활인구분석</t>
    <phoneticPr fontId="2" type="noConversion"/>
  </si>
  <si>
    <t>60.생활이동인구분석</t>
    <phoneticPr fontId="2" type="noConversion"/>
  </si>
  <si>
    <t>10.기본분석</t>
    <phoneticPr fontId="3" type="noConversion"/>
  </si>
  <si>
    <t>20.상세분석</t>
    <phoneticPr fontId="3" type="noConversion"/>
  </si>
  <si>
    <t>30.부가기능</t>
    <phoneticPr fontId="3" type="noConversion"/>
  </si>
  <si>
    <t>ㅇ 검색조건
  - 지역: 시도, 시군구, 읍면동
  - 기간: 1달 또는 1주 선택 (월간/주간)
ㅇ 권한
  - 베이직: 생활인구, 법제화 생활인구, 유니크생활인구, 유동인구
  - 프리미엄: 베이직 + 생활이동인구
ㅇ 지역별 생활인구(생활인구, 유니크 생활인구) 요약
ㅇ 지역별 법제화 생활인구 요약
ㅇ 지역별 유동인구 요약
ㅇ 지역별 생활이동인구 요약 (프리미엄)</t>
    <phoneticPr fontId="3" type="noConversion"/>
  </si>
  <si>
    <t>ㅇ 검색조건
  - 질문 검색 후, 질문에 해당하는 지역, 기간 선택
ㅇ 권한
  - 베이직: 생활인구, 법제화 생활인구, 유니크생활인구, 유동인구
  - 프리미엄: 베이직 + 생활이동인구
ㅇ 질문에 대한 데이터 표출 (리포트명)
  - 지역별 남성과 여성의 이동 비교 (생활이동인구)
  - 평일과 휴일의 이동수단 비교(생활이동인구)
  - 시간대별 생활인구 비교(생활인구)</t>
    <phoneticPr fontId="2" type="noConversion"/>
  </si>
  <si>
    <t>ㅇ 검색조건
  - 데이터, 기간, 지역
ㅇ 권한
  - 베이직: 생활인구, 법제화 생활인구, 유니크생활인구, 유동인구
  - 프리미엄: 베이직 + 생활이동인구
ㅇ 행정구역별 데이터 표출</t>
    <phoneticPr fontId="2" type="noConversion"/>
  </si>
  <si>
    <t>001.생활인구&gt;지표분석&gt;부가기능&gt;이미지 다운로드, 데이터 다운로드</t>
    <phoneticPr fontId="3" type="noConversion"/>
  </si>
  <si>
    <t>ㅇ 데이터 다운로드
  - 지도 상에 표출된 데이터 엑셀로 다운로드
ㅇ 이미지 다운로드
  - 지도 상에 표출된 시각화 .png로 다운로드</t>
    <phoneticPr fontId="2" type="noConversion"/>
  </si>
  <si>
    <t>10.분석</t>
    <phoneticPr fontId="3" type="noConversion"/>
  </si>
  <si>
    <t>001.생활인구&gt;생활인구분석&gt;분석&gt;시도/시군구/읍면동/생활권지역</t>
    <phoneticPr fontId="2" type="noConversion"/>
  </si>
  <si>
    <t>001.생활인구&gt;생활인구분석&gt;부가기능&gt;즐겨찾기 설정, 보고서다운기능</t>
    <phoneticPr fontId="2" type="noConversion"/>
  </si>
  <si>
    <t>001.생활인구&gt;법제화생활인구분석&gt;분석&gt;시도/시군구/읍면동</t>
    <phoneticPr fontId="2" type="noConversion"/>
  </si>
  <si>
    <t>001.생활인구&gt;법제화생활인구분석&gt;부가기능&gt;즐겨찾기 설정, 보고서다운기능</t>
    <phoneticPr fontId="2" type="noConversion"/>
  </si>
  <si>
    <t>001.생활인구&gt;생활이동인구분석&gt;분석&gt;시도/시군구/읍면동/생활권지역</t>
    <phoneticPr fontId="2" type="noConversion"/>
  </si>
  <si>
    <t>001.생활인구&gt;생활이동인구분석&gt;부가기능&gt;즐겨찾기 설정, 보고서다운기능</t>
    <phoneticPr fontId="2" type="noConversion"/>
  </si>
  <si>
    <t>ㅇ 즐겨찾기
  - 즐겨찾기 표시한 지표는 상단에서 표출
ㅇ 리포트명 : 지역별 생활인구 현황
ㅇ 기본조건 : 시도(다수) 또는 시군구(다수) 또는 읍면동(다수), 기준년월
ㅇ 데이터 : 지역별 생활인구</t>
    <phoneticPr fontId="3" type="noConversion"/>
  </si>
  <si>
    <t>ㅇ 즐겨찾기
  - 즐겨찾기 표시한 지표는 상단에서 표출
ㅇ 리포트명 : 지역별 법제화생활인구 현황
ㅇ 기본조건 : 시도(다수) 또는 시군구(다수) 또는 읍면동(다수), 기준년월
ㅇ 데이터 : 지역별 생활인구</t>
    <phoneticPr fontId="3" type="noConversion"/>
  </si>
  <si>
    <t>ㅇ 검색조건
  - 지역: 시도, 시군구, 읍면동, 생활권지역
  - 기간: 1달 또는 1주 선택 (월간/주간)
ㅇ 권한
  - 베이직, 프리미엄
ㅇ 행정구역별 비교기능
  - 검색조건 선택 시 지역을 다중선택하여 지역 간 비교
  - 최대 4개 지역 선택 및 비교
ㅇ 각 분석 시나리오는 탭으로 표출
  - 생활인구(생활인구, 유니크 생활인구) 요약
  - 주민등록인구, 생활인구 비교분석
  - 내국인 생활인구 분석
  - 외국인 생활인구 분석</t>
    <phoneticPr fontId="3" type="noConversion"/>
  </si>
  <si>
    <t>ㅇ 검색조건
  - 지역: 시도, 시군구, 읍면동
  - 기간: 1달 또는 1주 선택 (월간/주간)
ㅇ 권한
  - 베이직, 프리미엄
ㅇ 행정구역별 비교기능
  - 검색조건 선택 시 지역을 다중선택하여 지역 간 비교
  - 최대 4개 지역 선택 및 비교
ㅇ 각 분석 시나리오는 탭으로 표출
  - 법제화 생활인구 요약
  - 내국인 분석
  - 외국인 분석
  - 지역별 랭킹 (방문객 수 랭킹, 체류시간 랭킹 등)</t>
    <phoneticPr fontId="3" type="noConversion"/>
  </si>
  <si>
    <t>ㅇ 검색조건
  - 지역: 시도, 시군구, 읍면동, 생활권지역
  - 기간: 1달 또는 1주 선택 (월간/주간)
ㅇ 권한
  - 베이직, 프리미엄
ㅇ 행정구역별 비교기능
  - 검색조건 선택 시 지역을 다중선택하여 지역 간 비교
  - 최대 4개 지역 선택 및 비교
ㅇ 각 분석 시나리오는 탭으로 표출
  - 생활이동인구 요약
  - 이동목적별 생활이동인구 분석
  - 이동수단별 생활이동인구 분석
  - 출도착지별 이동목적별 생활이동인구 분석
  - 출도착지별 이동수단별 생활이동인구 분석</t>
    <phoneticPr fontId="3" type="noConversion"/>
  </si>
  <si>
    <t>ㅇ 즐겨찾기
  - 즐겨찾기 표시한 지표는 상단에서 표출
ㅇ 리포트명 : 지역별 생활이동인구 현황
ㅇ 기본조건 : 시도(다수) 또는 시군구(다수) 또는 읍면동(다수), 기준년월
ㅇ 데이터 : 지역별 생활이동인구</t>
    <phoneticPr fontId="3" type="noConversion"/>
  </si>
  <si>
    <t>80.경기도웹asp</t>
    <phoneticPr fontId="2" type="noConversion"/>
  </si>
  <si>
    <t>10.경기데이터드림</t>
    <phoneticPr fontId="2" type="noConversion"/>
  </si>
  <si>
    <t>10.경기도웹asp 링크</t>
    <phoneticPr fontId="2" type="noConversion"/>
  </si>
  <si>
    <t>ㅇ 경기데이터드림에서 배너 클릭 시 "경기도 생활이동인구 상황판" 페이지로 넘어가고
   - 대시보드/지표분석/GIS분석 메뉴 구성
   - 대시보드 화면 조회</t>
    <phoneticPr fontId="3" type="noConversion"/>
  </si>
  <si>
    <t>ㅇ 지역선택
  - 지도에서 지역 선택 또는 3초 간격으로 지역 이동(시군구)
  - 시군구/읍면동/생활권
ㅇ 체류인구 요약
  - 법제화 생활인구(일 3시간 이상 체류인구)
  - 목적별 체류인구(거주/방문), 주/야간 체류인구, 주중/주말 체류인구, 성/연령별 체류인구, 시간대별/요일별 체류인구
ㅇ 생활이동인구 요약
  - 이동목적별 유입/유출인구, 이동수단별 유입/유출인구, 이동목적별 평균 체류시간, 이동수단별 평균 체류시간, 이동수단별 탄소배출량</t>
    <phoneticPr fontId="3" type="noConversion"/>
  </si>
  <si>
    <t>10.전체 데이터 요약</t>
    <phoneticPr fontId="2" type="noConversion"/>
  </si>
  <si>
    <t>20.부가기능</t>
    <phoneticPr fontId="2" type="noConversion"/>
  </si>
  <si>
    <t>001.경기도웹asp&gt;경기데이터드림&gt;경기도웹asp링크</t>
    <phoneticPr fontId="3" type="noConversion"/>
  </si>
  <si>
    <t>001.경기도웹asp&gt;대시보드&gt;전체데이터요약</t>
    <phoneticPr fontId="3" type="noConversion"/>
  </si>
  <si>
    <t>ㅇ 매뉴얼다운로드
  - 버튼 클릭시 매뉴얼 다운로드
ㅇ 문의 채널 제공</t>
    <phoneticPr fontId="2" type="noConversion"/>
  </si>
  <si>
    <t>20.공통</t>
    <phoneticPr fontId="2" type="noConversion"/>
  </si>
  <si>
    <t>30.대시보드</t>
    <phoneticPr fontId="2" type="noConversion"/>
  </si>
  <si>
    <t>40.지표분석</t>
    <phoneticPr fontId="2" type="noConversion"/>
  </si>
  <si>
    <t>50.GIS분석</t>
    <phoneticPr fontId="2" type="noConversion"/>
  </si>
  <si>
    <t>001.경기도웹asp&gt;공통&gt;매뉴얼다운로드, 문의채널제공</t>
    <phoneticPr fontId="3" type="noConversion"/>
  </si>
  <si>
    <t>10. 이동목적별분석</t>
    <phoneticPr fontId="2" type="noConversion"/>
  </si>
  <si>
    <t>001.경기도웹asp&gt;지표분석&gt;이동목적별분석&gt;시군구/읍면동/생활권</t>
    <phoneticPr fontId="3" type="noConversion"/>
  </si>
  <si>
    <t>20. 이동수단별분석</t>
    <phoneticPr fontId="2" type="noConversion"/>
  </si>
  <si>
    <t>001.경기도웹asp&gt;지표분석&gt;이동수단별분석&gt;시군구/읍면동/생활권</t>
    <phoneticPr fontId="3" type="noConversion"/>
  </si>
  <si>
    <t>ㅇ 검색조건
  - 기준지역: 시군구, 읍면동, 생활권
  - 기간: 기준년월
  - 데이터: 이동목적
  - 유형: 유입인구/유출인구/체류시간
  - 이동목적: 귀가/출근/등교/쇼핑/관광/병원/기타
  - 성별: 남성/여성
  - 연령대: 10대이하/20대/30대/40대/50대/60대/70대/80세이상
  - 출발지역: 시도/시군구/행정동
ㅇ 권한
  - 대민: 공동구매 참여 시군의 읍면동만 조회 가능
ㅇ 이동목적별 유입인구
ㅇ 이동목적별 유출인구
ㅇ 이동목적별 체류시간</t>
    <phoneticPr fontId="3" type="noConversion"/>
  </si>
  <si>
    <t>ㅇ 검색조건
  - 기준지역: 시군구, 읍면동, 생활권
  - 기간: 기준년월
  - 데이터: 이동수단
  - 유형: 유입인구/유출인구/체류시간/탄소배출량
  - 이동목적: 귀가/출근/등교/쇼핑/관광/병원/기타
  - 성별: 남성/여성
  - 연령대: 10대이하/20대/30대/40대/50대/60대/70대/80세이상
  - 출발지역: 시도/시군구/행정동
ㅇ 권한
  - 대민: 공동구매 참여 시군의 읍면동만 조회 가능
ㅇ 이동수단별 유입인구
ㅇ 이동수단별 유출인구
ㅇ 이동수단별 체류시간
ㅇ 이동수단별 탄소배출량</t>
    <phoneticPr fontId="3" type="noConversion"/>
  </si>
  <si>
    <t>30. 부가기능</t>
    <phoneticPr fontId="2" type="noConversion"/>
  </si>
  <si>
    <t>001.경기도웹asp&gt;지표분석&gt;부가기능&gt;전체다운로드,리포트,도움말,개별다운로드</t>
    <phoneticPr fontId="3" type="noConversion"/>
  </si>
  <si>
    <t>ㅇ 전체다운로드
  - 전체 지표 데이터파일 다운로드
ㅇ 리포트
  - 화면을 pdf로 출력
ㅇ 도움말
  - 지표분석 화면 안내
ㅇ 개별다운로드
  - 개별 차트 내 다운로드버튼을 통해 차트 이미지 및 차트 데이터 다운로드</t>
    <phoneticPr fontId="2" type="noConversion"/>
  </si>
  <si>
    <t>ㅇ 검색조건
  - 데이터: 유입인구/유출인구
  - 기준지역: 시군구
  - 기간: 기준년월
  - 지역표출개수: 1~10
ㅇ 지도 시각화
  - 유입: 기준지역으로 유입하는 지역 표출
  - 유출: 기준지역에서 유출하는 지역 표출
  - 이동량에 따라 행정구역 단계구분도, 화살표 두께 다르게 표출</t>
    <phoneticPr fontId="3" type="noConversion"/>
  </si>
  <si>
    <t>ㅇ 유입
  - 기준지역 및 기간의 전체 유입인구, 상위 10개 지역 유입인구
  - 유입인구 상위 10개 지역별 유입인구
ㅇ 유출
  - 기준지역 및 기간의 전체 유출인구, 상위 10개 지역 유출인구
  - 유출인구 상위 10개 지역별 유출인구</t>
    <phoneticPr fontId="2" type="noConversion"/>
  </si>
  <si>
    <t>10. 로그인</t>
    <phoneticPr fontId="2" type="noConversion"/>
  </si>
  <si>
    <t>10.로그인url</t>
    <phoneticPr fontId="2" type="noConversion"/>
  </si>
  <si>
    <t>90.경기도웹asp_관리자</t>
  </si>
  <si>
    <t>001.경기도웹asp_관리자&gt;로그인&gt;로그인url</t>
  </si>
  <si>
    <t>001.경기도웹asp_관리자&gt;공통&gt;매뉴얼다운로드, 문의채널제공</t>
  </si>
  <si>
    <t>001.경기도웹asp_관리자&gt;대시보드&gt;전체데이터요약</t>
  </si>
  <si>
    <t>001.경기도웹asp_관리자&gt;지표분석&gt;이동목적별분석&gt;시군구/읍면동/생활권</t>
  </si>
  <si>
    <t>001.경기도웹asp_관리자&gt;지표분석&gt;이동수단별분석&gt;시군구/읍면동/생활권</t>
  </si>
  <si>
    <t>001.경기도웹asp_관리자&gt;지표분석&gt;부가기능&gt;전체다운로드,리포트,도움말,개별다운로드</t>
  </si>
  <si>
    <t>ㅇ 경기웹asp url에 /login입력 후 로그인페이지로 접근
  - http://49.247.147.61/login</t>
    <phoneticPr fontId="2" type="noConversion"/>
  </si>
  <si>
    <t>ㅇ 대민용과 동일</t>
    <phoneticPr fontId="3" type="noConversion"/>
  </si>
  <si>
    <t>ㅇ 대민용과 동일
ㅇ 검색조건
  - 기간: 일별로 선택 (ex. 1월 1일 ~ 1월 10일)
  - 지역: 전체 시군의 읍면동별 조회 가능</t>
    <phoneticPr fontId="3" type="noConversion"/>
  </si>
  <si>
    <t>10.유입/유출인구</t>
    <phoneticPr fontId="2" type="noConversion"/>
  </si>
  <si>
    <t>001.경기도웹asp&gt;GIS분석&gt;유입/유출인구&gt;지도시각화</t>
    <phoneticPr fontId="3" type="noConversion"/>
  </si>
  <si>
    <t>002.경기도웹asp&gt;GIS분석&gt;유입/유출인구&gt;데이터요약</t>
    <phoneticPr fontId="3" type="noConversion"/>
  </si>
  <si>
    <t>001.경기도웹asp_관리자&gt;GIS분석&gt;유입/유출인구&gt;지도시각화</t>
    <phoneticPr fontId="3" type="noConversion"/>
  </si>
  <si>
    <t>002.경기도웹asp_관리자&gt;GIS분석&gt;유입/유출인구&gt;데이터요약</t>
    <phoneticPr fontId="3" type="noConversion"/>
  </si>
  <si>
    <t>ㅇ 대민용과 동일
ㅇ 검색조건
  - 기간: 일별로 선택 (ex.1월 1일 ~ 1월 10일)</t>
    <phoneticPr fontId="3" type="noConversion"/>
  </si>
  <si>
    <t>20.생활인구 격자분석</t>
    <phoneticPr fontId="2" type="noConversion"/>
  </si>
  <si>
    <t>001.경기도웹asp_관리자&gt;GIS분석&gt;생활인구격자분석&gt;지도시각화</t>
    <phoneticPr fontId="2" type="noConversion"/>
  </si>
  <si>
    <t>ㅇ 검색조건
  - 데이터: 생활인구격자분석
  - 기준지역: 시군구
  - 기간: 일별로 선택 (ex.1월 1일 ~ 1월 10일)
ㅇ 지도 시각화
  - 생활인구 수에 따라 격자별로 단계구분도
  - 생활인구 수 표출</t>
    <phoneticPr fontId="3" type="noConversion"/>
  </si>
  <si>
    <t>002.경기도웹asp_관리자&gt;GIS분석&gt;생활인구격자분석&gt;데이터요약</t>
    <phoneticPr fontId="2" type="noConversion"/>
  </si>
  <si>
    <t>ㅇ 생활인구 요약
  - 1시간 평균 생활인구
  - 성/연령별 1시간 평균 생활인구</t>
    <phoneticPr fontId="2" type="noConversion"/>
  </si>
  <si>
    <t>001.경기도웹asp_관리자&gt;GIS분석&gt;생활인구행정구역분석&gt;지도시각화</t>
    <phoneticPr fontId="2" type="noConversion"/>
  </si>
  <si>
    <t>002.경기도웹asp_관리자&gt;GIS분석&gt;생활인구행정구역분석&gt;데이터요약</t>
    <phoneticPr fontId="2" type="noConversion"/>
  </si>
  <si>
    <t>30.생활인구 행정구역분석</t>
    <phoneticPr fontId="2" type="noConversion"/>
  </si>
  <si>
    <t>ㅇ 검색조건
  - 데이터: 생활인구행정구역분석
  - 기준지역: 시군구
  - 기간: 일별로 선택 (ex.1월 1일 ~ 1월 10일)
ㅇ 지도 시각화
  - 생활인구 수에 따라 행정구역별로 단계구분도
  - 생활인구 수 표출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</si>
</sst>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41" fontId="6" fillId="2" borderId="5" xfId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41" fontId="6" fillId="2" borderId="7" xfId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5" fillId="0" borderId="4" xfId="0" applyFont="1" applyBorder="1">
      <alignment vertical="center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14" fontId="5" fillId="0" borderId="4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4" fontId="6" fillId="2" borderId="5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BCEC-018D-4822-92A5-B83D5151DD48}">
  <dimension ref="A2:AD53"/>
  <sheetViews>
    <sheetView tabSelected="1" topLeftCell="A18" zoomScale="90" zoomScaleNormal="90" workbookViewId="0">
      <selection activeCell="H20" sqref="H20"/>
    </sheetView>
  </sheetViews>
  <sheetFormatPr defaultColWidth="0" defaultRowHeight="13.5" x14ac:dyDescent="0.3"/>
  <cols>
    <col min="1" max="1" width="2" style="1" customWidth="1"/>
    <col min="2" max="2" width="5.75" style="1" customWidth="1"/>
    <col min="3" max="3" width="13.375" style="1" customWidth="1"/>
    <col min="4" max="4" width="23.5" style="1" customWidth="1"/>
    <col min="5" max="5" width="16.375" style="1" bestFit="1" customWidth="1"/>
    <col min="6" max="6" width="19.125" style="1" customWidth="1"/>
    <col min="7" max="7" width="20.875" style="1" customWidth="1"/>
    <col min="8" max="8" width="80.375" style="1" customWidth="1"/>
    <col min="9" max="9" width="26.125" style="1" customWidth="1"/>
    <col min="10" max="10" width="17.5" style="20" customWidth="1"/>
    <col min="11" max="11" width="13.625" style="1" customWidth="1"/>
    <col min="12" max="14" width="10" style="1" customWidth="1"/>
    <col min="15" max="15" width="25.875" style="1" customWidth="1"/>
    <col min="16" max="16" width="27.25" style="1" customWidth="1"/>
    <col min="17" max="17" width="21.875" style="1" customWidth="1"/>
    <col min="18" max="18" width="10" style="1" customWidth="1"/>
    <col min="19" max="19" width="7.5" style="1" bestFit="1" customWidth="1"/>
    <col min="20" max="20" width="49.5" style="1" customWidth="1"/>
    <col min="21" max="21" width="31.5" style="1" customWidth="1"/>
    <col min="22" max="22" width="10" style="1" customWidth="1"/>
    <col min="23" max="23" width="2" style="1" customWidth="1"/>
    <col min="24" max="30" width="0" style="1" hidden="1" customWidth="1"/>
    <col min="31" max="16384" width="10" style="1" hidden="1"/>
  </cols>
  <sheetData>
    <row r="2" spans="2:22" ht="26.25" x14ac:dyDescent="0.3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</row>
    <row r="4" spans="2:22" x14ac:dyDescent="0.3">
      <c r="B4" s="21" t="s">
        <v>1</v>
      </c>
      <c r="C4" s="21" t="s">
        <v>2</v>
      </c>
      <c r="D4" s="21" t="s">
        <v>3</v>
      </c>
      <c r="E4" s="21"/>
      <c r="F4" s="21"/>
      <c r="G4" s="21" t="s">
        <v>4</v>
      </c>
      <c r="H4" s="23" t="s">
        <v>5</v>
      </c>
      <c r="I4" s="23" t="s">
        <v>6</v>
      </c>
      <c r="J4" s="25" t="s">
        <v>7</v>
      </c>
      <c r="K4" s="21" t="s">
        <v>8</v>
      </c>
      <c r="L4" s="21"/>
      <c r="M4" s="21" t="s">
        <v>9</v>
      </c>
      <c r="N4" s="27" t="s">
        <v>10</v>
      </c>
      <c r="O4" s="28"/>
      <c r="P4" s="21" t="s">
        <v>11</v>
      </c>
      <c r="Q4" s="21"/>
      <c r="R4" s="21"/>
      <c r="S4" s="21" t="s">
        <v>12</v>
      </c>
      <c r="T4" s="22" t="s">
        <v>13</v>
      </c>
      <c r="U4" s="22" t="s">
        <v>14</v>
      </c>
      <c r="V4" s="22" t="s">
        <v>15</v>
      </c>
    </row>
    <row r="5" spans="2:22" ht="27" x14ac:dyDescent="0.3">
      <c r="B5" s="21"/>
      <c r="C5" s="21"/>
      <c r="D5" s="2" t="s">
        <v>16</v>
      </c>
      <c r="E5" s="2" t="s">
        <v>17</v>
      </c>
      <c r="F5" s="2" t="s">
        <v>18</v>
      </c>
      <c r="G5" s="21"/>
      <c r="H5" s="24"/>
      <c r="I5" s="24"/>
      <c r="J5" s="26"/>
      <c r="K5" s="2" t="s">
        <v>19</v>
      </c>
      <c r="L5" s="2" t="s">
        <v>20</v>
      </c>
      <c r="M5" s="21"/>
      <c r="N5" s="3" t="s">
        <v>21</v>
      </c>
      <c r="O5" s="6" t="s">
        <v>22</v>
      </c>
      <c r="P5" s="2" t="s">
        <v>23</v>
      </c>
      <c r="Q5" s="2" t="s">
        <v>24</v>
      </c>
      <c r="R5" s="2" t="s">
        <v>25</v>
      </c>
      <c r="S5" s="21"/>
      <c r="T5" s="22"/>
      <c r="U5" s="22"/>
      <c r="V5" s="22"/>
    </row>
    <row r="6" spans="2:22" x14ac:dyDescent="0.3">
      <c r="B6" s="4"/>
      <c r="C6" s="4"/>
      <c r="D6" s="4"/>
      <c r="E6" s="4"/>
      <c r="F6" s="4"/>
      <c r="G6" s="4"/>
      <c r="H6" s="4"/>
      <c r="I6" s="4"/>
      <c r="J6" s="5"/>
      <c r="K6" s="4"/>
      <c r="L6" s="4"/>
      <c r="M6" s="4"/>
      <c r="N6" s="7"/>
      <c r="O6" s="8"/>
      <c r="P6" s="4"/>
      <c r="Q6" s="4"/>
      <c r="R6" s="4"/>
      <c r="S6" s="4"/>
      <c r="T6" s="9"/>
      <c r="U6" s="9"/>
      <c r="V6" s="9"/>
    </row>
    <row r="7" spans="2:22" ht="54" x14ac:dyDescent="0.3">
      <c r="B7" s="10">
        <v>1</v>
      </c>
      <c r="C7" s="11" t="str">
        <f t="shared" ref="C7:C21" si="0">LEFT(D7,2)&amp;LEFT(E7,2)&amp;LEFT(F7,2)&amp;LEFT(G7,3)</f>
        <v>101010001</v>
      </c>
      <c r="D7" s="12" t="s">
        <v>26</v>
      </c>
      <c r="E7" s="13" t="s">
        <v>27</v>
      </c>
      <c r="F7" s="13" t="s">
        <v>28</v>
      </c>
      <c r="G7" s="13" t="s">
        <v>29</v>
      </c>
      <c r="H7" s="14" t="s">
        <v>135</v>
      </c>
      <c r="I7" s="11"/>
      <c r="J7" s="15">
        <v>45470</v>
      </c>
      <c r="K7" s="10" t="s">
        <v>31</v>
      </c>
      <c r="L7" s="16" t="s">
        <v>32</v>
      </c>
      <c r="M7" s="10" t="s">
        <v>33</v>
      </c>
      <c r="N7" s="10" t="s">
        <v>34</v>
      </c>
      <c r="O7" s="10"/>
      <c r="P7" s="10" t="s">
        <v>35</v>
      </c>
      <c r="Q7" s="10" t="s">
        <v>36</v>
      </c>
      <c r="R7" s="10" t="s">
        <v>37</v>
      </c>
      <c r="S7" s="10" t="s">
        <v>38</v>
      </c>
      <c r="T7" s="17"/>
      <c r="U7" s="10"/>
      <c r="V7" s="17"/>
    </row>
    <row r="8" spans="2:22" ht="27" x14ac:dyDescent="0.3">
      <c r="B8" s="10">
        <v>2</v>
      </c>
      <c r="C8" s="11" t="str">
        <f t="shared" si="0"/>
        <v>101020001</v>
      </c>
      <c r="D8" s="12" t="s">
        <v>26</v>
      </c>
      <c r="E8" s="13" t="s">
        <v>27</v>
      </c>
      <c r="F8" s="13" t="s">
        <v>39</v>
      </c>
      <c r="G8" s="13" t="s">
        <v>40</v>
      </c>
      <c r="H8" s="14" t="s">
        <v>41</v>
      </c>
      <c r="I8" s="11"/>
      <c r="J8" s="15">
        <v>45470</v>
      </c>
      <c r="K8" s="10" t="s">
        <v>31</v>
      </c>
      <c r="L8" s="16" t="s">
        <v>32</v>
      </c>
      <c r="M8" s="10" t="s">
        <v>33</v>
      </c>
      <c r="N8" s="10" t="s">
        <v>34</v>
      </c>
      <c r="O8" s="10"/>
      <c r="P8" s="10" t="s">
        <v>35</v>
      </c>
      <c r="Q8" s="10" t="s">
        <v>36</v>
      </c>
      <c r="R8" s="10" t="s">
        <v>37</v>
      </c>
      <c r="S8" s="10" t="s">
        <v>38</v>
      </c>
      <c r="T8" s="17"/>
      <c r="U8" s="10"/>
      <c r="V8" s="17"/>
    </row>
    <row r="9" spans="2:22" ht="135" x14ac:dyDescent="0.3">
      <c r="B9" s="10">
        <v>3</v>
      </c>
      <c r="C9" s="11" t="str">
        <f t="shared" si="0"/>
        <v>102010001</v>
      </c>
      <c r="D9" s="12" t="s">
        <v>26</v>
      </c>
      <c r="E9" s="13" t="s">
        <v>42</v>
      </c>
      <c r="F9" s="13" t="s">
        <v>136</v>
      </c>
      <c r="G9" s="13" t="s">
        <v>137</v>
      </c>
      <c r="H9" s="13" t="s">
        <v>145</v>
      </c>
      <c r="I9" s="14"/>
      <c r="J9" s="15">
        <v>45470</v>
      </c>
      <c r="K9" s="10" t="s">
        <v>31</v>
      </c>
      <c r="L9" s="16" t="s">
        <v>32</v>
      </c>
      <c r="M9" s="10" t="s">
        <v>33</v>
      </c>
      <c r="N9" s="10" t="s">
        <v>34</v>
      </c>
      <c r="O9" s="10"/>
      <c r="P9" s="10" t="s">
        <v>35</v>
      </c>
      <c r="Q9" s="10" t="s">
        <v>36</v>
      </c>
      <c r="R9" s="10" t="s">
        <v>37</v>
      </c>
      <c r="S9" s="10" t="s">
        <v>38</v>
      </c>
      <c r="T9" s="18"/>
      <c r="U9" s="10"/>
      <c r="V9" s="17"/>
    </row>
    <row r="10" spans="2:22" ht="27" x14ac:dyDescent="0.3">
      <c r="B10" s="10">
        <v>4</v>
      </c>
      <c r="C10" s="11" t="str">
        <f t="shared" si="0"/>
        <v>102020001</v>
      </c>
      <c r="D10" s="12" t="s">
        <v>26</v>
      </c>
      <c r="E10" s="13" t="s">
        <v>42</v>
      </c>
      <c r="F10" s="13" t="s">
        <v>46</v>
      </c>
      <c r="G10" s="13" t="s">
        <v>47</v>
      </c>
      <c r="H10" s="13"/>
      <c r="I10" s="11"/>
      <c r="J10" s="15">
        <v>45470</v>
      </c>
      <c r="K10" s="10" t="s">
        <v>31</v>
      </c>
      <c r="L10" s="16" t="s">
        <v>32</v>
      </c>
      <c r="M10" s="10" t="s">
        <v>33</v>
      </c>
      <c r="N10" s="10" t="s">
        <v>34</v>
      </c>
      <c r="O10" s="10"/>
      <c r="P10" s="10" t="s">
        <v>35</v>
      </c>
      <c r="Q10" s="10" t="s">
        <v>36</v>
      </c>
      <c r="R10" s="10" t="s">
        <v>37</v>
      </c>
      <c r="S10" s="10" t="s">
        <v>38</v>
      </c>
      <c r="T10" s="13"/>
      <c r="U10" s="13"/>
      <c r="V10" s="17"/>
    </row>
    <row r="11" spans="2:22" ht="121.5" x14ac:dyDescent="0.3">
      <c r="B11" s="10">
        <v>5</v>
      </c>
      <c r="C11" s="11" t="str">
        <f t="shared" si="0"/>
        <v>103010001</v>
      </c>
      <c r="D11" s="12" t="s">
        <v>26</v>
      </c>
      <c r="E11" s="13" t="s">
        <v>138</v>
      </c>
      <c r="F11" s="13" t="s">
        <v>142</v>
      </c>
      <c r="G11" s="13" t="s">
        <v>49</v>
      </c>
      <c r="H11" s="13" t="s">
        <v>146</v>
      </c>
      <c r="I11" s="11"/>
      <c r="J11" s="15">
        <v>45470</v>
      </c>
      <c r="K11" s="10" t="s">
        <v>31</v>
      </c>
      <c r="L11" s="16" t="s">
        <v>32</v>
      </c>
      <c r="M11" s="10" t="s">
        <v>33</v>
      </c>
      <c r="N11" s="10" t="s">
        <v>34</v>
      </c>
      <c r="O11" s="10"/>
      <c r="P11" s="10" t="s">
        <v>35</v>
      </c>
      <c r="Q11" s="10" t="s">
        <v>36</v>
      </c>
      <c r="R11" s="10" t="s">
        <v>37</v>
      </c>
      <c r="S11" s="10" t="s">
        <v>38</v>
      </c>
      <c r="T11" s="17"/>
      <c r="U11" s="10"/>
      <c r="V11" s="17"/>
    </row>
    <row r="12" spans="2:22" ht="81" x14ac:dyDescent="0.3">
      <c r="B12" s="10">
        <v>6</v>
      </c>
      <c r="C12" s="11" t="str">
        <f t="shared" si="0"/>
        <v>103020001</v>
      </c>
      <c r="D12" s="12" t="s">
        <v>26</v>
      </c>
      <c r="E12" s="13" t="s">
        <v>138</v>
      </c>
      <c r="F12" s="13" t="s">
        <v>143</v>
      </c>
      <c r="G12" s="13" t="s">
        <v>51</v>
      </c>
      <c r="H12" s="13" t="s">
        <v>147</v>
      </c>
      <c r="I12" s="11"/>
      <c r="J12" s="15"/>
      <c r="K12" s="10"/>
      <c r="L12" s="16"/>
      <c r="M12" s="10"/>
      <c r="N12" s="10"/>
      <c r="O12" s="10"/>
      <c r="P12" s="10"/>
      <c r="Q12" s="10"/>
      <c r="R12" s="10"/>
      <c r="S12" s="10"/>
      <c r="T12" s="17"/>
      <c r="U12" s="10"/>
      <c r="V12" s="17"/>
    </row>
    <row r="13" spans="2:22" ht="54" x14ac:dyDescent="0.3">
      <c r="B13" s="10">
        <v>7</v>
      </c>
      <c r="C13" s="11" t="str">
        <f t="shared" si="0"/>
        <v>103030001</v>
      </c>
      <c r="D13" s="12" t="s">
        <v>26</v>
      </c>
      <c r="E13" s="13" t="s">
        <v>138</v>
      </c>
      <c r="F13" s="13" t="s">
        <v>144</v>
      </c>
      <c r="G13" s="13" t="s">
        <v>148</v>
      </c>
      <c r="H13" s="14" t="s">
        <v>149</v>
      </c>
      <c r="I13" s="11"/>
      <c r="J13" s="15">
        <v>45470</v>
      </c>
      <c r="K13" s="10" t="s">
        <v>31</v>
      </c>
      <c r="L13" s="16" t="s">
        <v>32</v>
      </c>
      <c r="M13" s="10" t="s">
        <v>33</v>
      </c>
      <c r="N13" s="10" t="s">
        <v>34</v>
      </c>
      <c r="O13" s="10"/>
      <c r="P13" s="10" t="s">
        <v>35</v>
      </c>
      <c r="Q13" s="10" t="s">
        <v>36</v>
      </c>
      <c r="R13" s="10" t="s">
        <v>37</v>
      </c>
      <c r="S13" s="10" t="s">
        <v>38</v>
      </c>
      <c r="T13" s="17"/>
      <c r="U13" s="10"/>
      <c r="V13" s="17"/>
    </row>
    <row r="14" spans="2:22" ht="175.5" x14ac:dyDescent="0.3">
      <c r="B14" s="10">
        <v>8</v>
      </c>
      <c r="C14" s="11" t="str">
        <f t="shared" si="0"/>
        <v>104010001</v>
      </c>
      <c r="D14" s="12" t="s">
        <v>26</v>
      </c>
      <c r="E14" s="13" t="s">
        <v>139</v>
      </c>
      <c r="F14" s="13" t="s">
        <v>150</v>
      </c>
      <c r="G14" s="13" t="s">
        <v>151</v>
      </c>
      <c r="H14" s="13" t="s">
        <v>159</v>
      </c>
      <c r="I14" s="11"/>
      <c r="J14" s="15">
        <v>45470</v>
      </c>
      <c r="K14" s="10" t="s">
        <v>31</v>
      </c>
      <c r="L14" s="16" t="s">
        <v>32</v>
      </c>
      <c r="M14" s="10" t="s">
        <v>33</v>
      </c>
      <c r="N14" s="10" t="s">
        <v>34</v>
      </c>
      <c r="O14" s="10"/>
      <c r="P14" s="10" t="s">
        <v>35</v>
      </c>
      <c r="Q14" s="10" t="s">
        <v>36</v>
      </c>
      <c r="R14" s="10" t="s">
        <v>37</v>
      </c>
      <c r="S14" s="10" t="s">
        <v>38</v>
      </c>
      <c r="T14" s="17"/>
      <c r="U14" s="10"/>
      <c r="V14" s="17"/>
    </row>
    <row r="15" spans="2:22" ht="67.5" x14ac:dyDescent="0.3">
      <c r="B15" s="10">
        <v>9</v>
      </c>
      <c r="C15" s="11" t="str">
        <f t="shared" ref="C15:C19" si="1">LEFT(D15,2)&amp;LEFT(E15,2)&amp;LEFT(F15,2)&amp;LEFT(G15,3)</f>
        <v>104020001</v>
      </c>
      <c r="D15" s="12" t="s">
        <v>26</v>
      </c>
      <c r="E15" s="13" t="s">
        <v>139</v>
      </c>
      <c r="F15" s="13" t="s">
        <v>46</v>
      </c>
      <c r="G15" s="13" t="s">
        <v>152</v>
      </c>
      <c r="H15" s="13" t="s">
        <v>157</v>
      </c>
      <c r="I15" s="11"/>
      <c r="J15" s="15">
        <v>45470</v>
      </c>
      <c r="K15" s="10" t="s">
        <v>31</v>
      </c>
      <c r="L15" s="16" t="s">
        <v>32</v>
      </c>
      <c r="M15" s="10" t="s">
        <v>33</v>
      </c>
      <c r="N15" s="10" t="s">
        <v>34</v>
      </c>
      <c r="O15" s="10"/>
      <c r="P15" s="10" t="s">
        <v>35</v>
      </c>
      <c r="Q15" s="10" t="s">
        <v>36</v>
      </c>
      <c r="R15" s="10" t="s">
        <v>37</v>
      </c>
      <c r="S15" s="10" t="s">
        <v>38</v>
      </c>
      <c r="T15" s="17"/>
      <c r="U15" s="10"/>
      <c r="V15" s="17"/>
    </row>
    <row r="16" spans="2:22" ht="175.5" x14ac:dyDescent="0.3">
      <c r="B16" s="10">
        <v>10</v>
      </c>
      <c r="C16" s="11" t="str">
        <f t="shared" si="1"/>
        <v>105010001</v>
      </c>
      <c r="D16" s="12" t="s">
        <v>26</v>
      </c>
      <c r="E16" s="13" t="s">
        <v>140</v>
      </c>
      <c r="F16" s="13" t="s">
        <v>150</v>
      </c>
      <c r="G16" s="13" t="s">
        <v>153</v>
      </c>
      <c r="H16" s="13" t="s">
        <v>160</v>
      </c>
      <c r="I16" s="11"/>
      <c r="J16" s="15">
        <v>45470</v>
      </c>
      <c r="K16" s="10" t="s">
        <v>31</v>
      </c>
      <c r="L16" s="16" t="s">
        <v>32</v>
      </c>
      <c r="M16" s="10" t="s">
        <v>33</v>
      </c>
      <c r="N16" s="10" t="s">
        <v>34</v>
      </c>
      <c r="O16" s="10"/>
      <c r="P16" s="10" t="s">
        <v>35</v>
      </c>
      <c r="Q16" s="10" t="s">
        <v>36</v>
      </c>
      <c r="R16" s="10" t="s">
        <v>37</v>
      </c>
      <c r="S16" s="10" t="s">
        <v>38</v>
      </c>
      <c r="T16" s="17"/>
      <c r="U16" s="10"/>
      <c r="V16" s="17"/>
    </row>
    <row r="17" spans="2:22" ht="67.5" x14ac:dyDescent="0.3">
      <c r="B17" s="10">
        <v>11</v>
      </c>
      <c r="C17" s="11" t="str">
        <f t="shared" si="1"/>
        <v>105020001</v>
      </c>
      <c r="D17" s="12" t="s">
        <v>26</v>
      </c>
      <c r="E17" s="13" t="s">
        <v>140</v>
      </c>
      <c r="F17" s="13" t="s">
        <v>46</v>
      </c>
      <c r="G17" s="13" t="s">
        <v>154</v>
      </c>
      <c r="H17" s="13" t="s">
        <v>158</v>
      </c>
      <c r="I17" s="11"/>
      <c r="J17" s="15">
        <v>45470</v>
      </c>
      <c r="K17" s="10" t="s">
        <v>31</v>
      </c>
      <c r="L17" s="16" t="s">
        <v>32</v>
      </c>
      <c r="M17" s="10" t="s">
        <v>33</v>
      </c>
      <c r="N17" s="10" t="s">
        <v>34</v>
      </c>
      <c r="O17" s="10"/>
      <c r="P17" s="10" t="s">
        <v>35</v>
      </c>
      <c r="Q17" s="10" t="s">
        <v>36</v>
      </c>
      <c r="R17" s="10" t="s">
        <v>37</v>
      </c>
      <c r="S17" s="10" t="s">
        <v>38</v>
      </c>
      <c r="T17" s="17"/>
      <c r="U17" s="10"/>
      <c r="V17" s="17"/>
    </row>
    <row r="18" spans="2:22" ht="189" x14ac:dyDescent="0.3">
      <c r="B18" s="10">
        <v>12</v>
      </c>
      <c r="C18" s="11" t="str">
        <f t="shared" si="1"/>
        <v>106010001</v>
      </c>
      <c r="D18" s="12" t="s">
        <v>26</v>
      </c>
      <c r="E18" s="13" t="s">
        <v>141</v>
      </c>
      <c r="F18" s="13" t="s">
        <v>150</v>
      </c>
      <c r="G18" s="13" t="s">
        <v>155</v>
      </c>
      <c r="H18" s="13" t="s">
        <v>161</v>
      </c>
      <c r="I18" s="11"/>
      <c r="J18" s="15">
        <v>45470</v>
      </c>
      <c r="K18" s="10" t="s">
        <v>31</v>
      </c>
      <c r="L18" s="16" t="s">
        <v>32</v>
      </c>
      <c r="M18" s="10" t="s">
        <v>33</v>
      </c>
      <c r="N18" s="10" t="s">
        <v>34</v>
      </c>
      <c r="O18" s="10"/>
      <c r="P18" s="10" t="s">
        <v>35</v>
      </c>
      <c r="Q18" s="10" t="s">
        <v>36</v>
      </c>
      <c r="R18" s="10" t="s">
        <v>37</v>
      </c>
      <c r="S18" s="10" t="s">
        <v>38</v>
      </c>
      <c r="T18" s="17"/>
      <c r="U18" s="10"/>
      <c r="V18" s="17"/>
    </row>
    <row r="19" spans="2:22" ht="67.5" x14ac:dyDescent="0.3">
      <c r="B19" s="10">
        <v>13</v>
      </c>
      <c r="C19" s="11" t="str">
        <f t="shared" si="1"/>
        <v>106020001</v>
      </c>
      <c r="D19" s="12" t="s">
        <v>26</v>
      </c>
      <c r="E19" s="13" t="s">
        <v>141</v>
      </c>
      <c r="F19" s="13" t="s">
        <v>46</v>
      </c>
      <c r="G19" s="13" t="s">
        <v>156</v>
      </c>
      <c r="H19" s="13" t="s">
        <v>162</v>
      </c>
      <c r="I19" s="11"/>
      <c r="J19" s="15">
        <v>45470</v>
      </c>
      <c r="K19" s="10" t="s">
        <v>31</v>
      </c>
      <c r="L19" s="16" t="s">
        <v>32</v>
      </c>
      <c r="M19" s="10" t="s">
        <v>33</v>
      </c>
      <c r="N19" s="10" t="s">
        <v>34</v>
      </c>
      <c r="O19" s="10"/>
      <c r="P19" s="10" t="s">
        <v>35</v>
      </c>
      <c r="Q19" s="10" t="s">
        <v>36</v>
      </c>
      <c r="R19" s="10" t="s">
        <v>37</v>
      </c>
      <c r="S19" s="10" t="s">
        <v>38</v>
      </c>
      <c r="T19" s="17"/>
      <c r="U19" s="10"/>
      <c r="V19" s="17"/>
    </row>
    <row r="20" spans="2:22" ht="40.5" x14ac:dyDescent="0.3">
      <c r="B20" s="10">
        <v>14</v>
      </c>
      <c r="C20" s="11" t="str">
        <f t="shared" si="0"/>
        <v>201010001</v>
      </c>
      <c r="D20" s="12" t="s">
        <v>74</v>
      </c>
      <c r="E20" s="12" t="s">
        <v>75</v>
      </c>
      <c r="F20" s="12" t="s">
        <v>76</v>
      </c>
      <c r="G20" s="12" t="s">
        <v>77</v>
      </c>
      <c r="H20" s="34" t="s">
        <v>125</v>
      </c>
      <c r="I20" s="11"/>
      <c r="J20" s="15">
        <v>45470</v>
      </c>
      <c r="K20" s="10" t="s">
        <v>31</v>
      </c>
      <c r="L20" s="16" t="s">
        <v>32</v>
      </c>
      <c r="M20" s="10" t="s">
        <v>33</v>
      </c>
      <c r="N20" s="10" t="s">
        <v>34</v>
      </c>
      <c r="O20" s="10"/>
      <c r="P20" s="10" t="s">
        <v>35</v>
      </c>
      <c r="Q20" s="10" t="s">
        <v>36</v>
      </c>
      <c r="R20" s="10" t="s">
        <v>37</v>
      </c>
      <c r="S20" s="10" t="s">
        <v>38</v>
      </c>
      <c r="T20" s="17"/>
      <c r="U20" s="10"/>
      <c r="V20" s="17"/>
    </row>
    <row r="21" spans="2:22" ht="27" x14ac:dyDescent="0.3">
      <c r="B21" s="10">
        <v>15</v>
      </c>
      <c r="C21" s="11" t="str">
        <f t="shared" si="0"/>
        <v>201020001</v>
      </c>
      <c r="D21" s="12" t="s">
        <v>74</v>
      </c>
      <c r="E21" s="12" t="s">
        <v>75</v>
      </c>
      <c r="F21" s="12" t="s">
        <v>78</v>
      </c>
      <c r="G21" s="12" t="s">
        <v>79</v>
      </c>
      <c r="H21" s="34"/>
      <c r="I21" s="11"/>
      <c r="J21" s="15">
        <v>45470</v>
      </c>
      <c r="K21" s="10" t="s">
        <v>31</v>
      </c>
      <c r="L21" s="16" t="s">
        <v>32</v>
      </c>
      <c r="M21" s="10" t="s">
        <v>33</v>
      </c>
      <c r="N21" s="10" t="s">
        <v>34</v>
      </c>
      <c r="O21" s="10"/>
      <c r="P21" s="10" t="s">
        <v>35</v>
      </c>
      <c r="Q21" s="10" t="s">
        <v>36</v>
      </c>
      <c r="R21" s="10" t="s">
        <v>37</v>
      </c>
      <c r="S21" s="10" t="s">
        <v>38</v>
      </c>
      <c r="T21" s="17"/>
      <c r="U21" s="10"/>
      <c r="V21" s="17"/>
    </row>
    <row r="22" spans="2:22" x14ac:dyDescent="0.3">
      <c r="B22" s="10">
        <v>16</v>
      </c>
      <c r="C22" s="11" t="str">
        <f>LEFT(D22,2)&amp;LEFT(E22,2)&amp;LEFT(F22,2)&amp;LEFT(G22,3)</f>
        <v>202010001</v>
      </c>
      <c r="D22" s="12" t="s">
        <v>74</v>
      </c>
      <c r="E22" s="12" t="s">
        <v>80</v>
      </c>
      <c r="F22" s="13" t="s">
        <v>81</v>
      </c>
      <c r="G22" s="13" t="s">
        <v>82</v>
      </c>
      <c r="H22" s="34"/>
      <c r="I22" s="11"/>
      <c r="J22" s="15">
        <v>45470</v>
      </c>
      <c r="K22" s="10" t="s">
        <v>31</v>
      </c>
      <c r="L22" s="16" t="s">
        <v>32</v>
      </c>
      <c r="M22" s="10" t="s">
        <v>33</v>
      </c>
      <c r="N22" s="10" t="s">
        <v>34</v>
      </c>
      <c r="O22" s="10"/>
      <c r="P22" s="10" t="s">
        <v>35</v>
      </c>
      <c r="Q22" s="10" t="s">
        <v>36</v>
      </c>
      <c r="R22" s="10" t="s">
        <v>37</v>
      </c>
      <c r="S22" s="10" t="s">
        <v>38</v>
      </c>
      <c r="T22" s="17"/>
      <c r="U22" s="10"/>
      <c r="V22" s="17"/>
    </row>
    <row r="23" spans="2:22" x14ac:dyDescent="0.3">
      <c r="B23" s="10">
        <v>17</v>
      </c>
      <c r="C23" s="11" t="str">
        <f>LEFT(D23,2)&amp;LEFT(E23,2)&amp;LEFT(F23,2)&amp;LEFT(G23,3)</f>
        <v>202030001</v>
      </c>
      <c r="D23" s="12" t="s">
        <v>74</v>
      </c>
      <c r="E23" s="12" t="s">
        <v>80</v>
      </c>
      <c r="F23" s="12" t="s">
        <v>83</v>
      </c>
      <c r="G23" s="12" t="s">
        <v>84</v>
      </c>
      <c r="H23" s="34"/>
      <c r="I23" s="11"/>
      <c r="J23" s="15">
        <v>45470</v>
      </c>
      <c r="K23" s="10" t="s">
        <v>31</v>
      </c>
      <c r="L23" s="16" t="s">
        <v>32</v>
      </c>
      <c r="M23" s="10" t="s">
        <v>33</v>
      </c>
      <c r="N23" s="10" t="s">
        <v>34</v>
      </c>
      <c r="O23" s="10"/>
      <c r="P23" s="10" t="s">
        <v>35</v>
      </c>
      <c r="Q23" s="10" t="s">
        <v>36</v>
      </c>
      <c r="R23" s="10" t="s">
        <v>37</v>
      </c>
      <c r="S23" s="10" t="s">
        <v>38</v>
      </c>
      <c r="T23" s="17"/>
      <c r="U23" s="10"/>
      <c r="V23" s="17"/>
    </row>
    <row r="24" spans="2:22" x14ac:dyDescent="0.3">
      <c r="B24" s="10">
        <v>18</v>
      </c>
      <c r="C24" s="11" t="str">
        <f>LEFT(D24,2)&amp;LEFT(E24,2)&amp;LEFT(F24,2)&amp;LEFT(G24,3)</f>
        <v>301010001</v>
      </c>
      <c r="D24" s="11" t="s">
        <v>85</v>
      </c>
      <c r="E24" s="11" t="s">
        <v>86</v>
      </c>
      <c r="F24" s="11" t="s">
        <v>86</v>
      </c>
      <c r="G24" s="11" t="s">
        <v>87</v>
      </c>
      <c r="H24" s="32" t="s">
        <v>126</v>
      </c>
      <c r="I24" s="11"/>
      <c r="J24" s="15">
        <v>45470</v>
      </c>
      <c r="K24" s="10" t="s">
        <v>31</v>
      </c>
      <c r="L24" s="19" t="s">
        <v>88</v>
      </c>
      <c r="M24" s="10" t="s">
        <v>33</v>
      </c>
      <c r="N24" s="10" t="s">
        <v>34</v>
      </c>
      <c r="O24" s="10"/>
      <c r="P24" s="10" t="s">
        <v>35</v>
      </c>
      <c r="Q24" s="10" t="s">
        <v>36</v>
      </c>
      <c r="R24" s="10" t="s">
        <v>37</v>
      </c>
      <c r="S24" s="10" t="s">
        <v>38</v>
      </c>
      <c r="T24" s="17"/>
      <c r="U24" s="10"/>
      <c r="V24" s="17"/>
    </row>
    <row r="25" spans="2:22" x14ac:dyDescent="0.3">
      <c r="B25" s="10">
        <v>19</v>
      </c>
      <c r="C25" s="11" t="str">
        <f t="shared" ref="C25:C26" si="2">LEFT(D25,2)&amp;LEFT(E25,2)&amp;LEFT(F25,2)&amp;LEFT(G25,3)</f>
        <v>302010001</v>
      </c>
      <c r="D25" s="11" t="s">
        <v>85</v>
      </c>
      <c r="E25" s="11" t="s">
        <v>89</v>
      </c>
      <c r="F25" s="11" t="s">
        <v>90</v>
      </c>
      <c r="G25" s="11" t="s">
        <v>91</v>
      </c>
      <c r="H25" s="32" t="s">
        <v>127</v>
      </c>
      <c r="I25" s="11"/>
      <c r="J25" s="15">
        <v>45470</v>
      </c>
      <c r="K25" s="10" t="s">
        <v>31</v>
      </c>
      <c r="L25" s="19" t="s">
        <v>88</v>
      </c>
      <c r="M25" s="10" t="s">
        <v>33</v>
      </c>
      <c r="N25" s="10" t="s">
        <v>34</v>
      </c>
      <c r="O25" s="10"/>
      <c r="P25" s="10" t="s">
        <v>35</v>
      </c>
      <c r="Q25" s="10" t="s">
        <v>36</v>
      </c>
      <c r="R25" s="10" t="s">
        <v>37</v>
      </c>
      <c r="S25" s="10" t="s">
        <v>38</v>
      </c>
      <c r="T25" s="17"/>
      <c r="U25" s="10"/>
      <c r="V25" s="17"/>
    </row>
    <row r="26" spans="2:22" x14ac:dyDescent="0.3">
      <c r="B26" s="10">
        <v>20</v>
      </c>
      <c r="C26" s="11" t="str">
        <f t="shared" si="2"/>
        <v>303010001</v>
      </c>
      <c r="D26" s="11" t="s">
        <v>85</v>
      </c>
      <c r="E26" s="11" t="s">
        <v>92</v>
      </c>
      <c r="F26" s="11" t="s">
        <v>93</v>
      </c>
      <c r="G26" s="11" t="s">
        <v>94</v>
      </c>
      <c r="H26" s="32" t="s">
        <v>128</v>
      </c>
      <c r="I26" s="11"/>
      <c r="J26" s="15">
        <v>45470</v>
      </c>
      <c r="K26" s="10" t="s">
        <v>31</v>
      </c>
      <c r="L26" s="19" t="s">
        <v>88</v>
      </c>
      <c r="M26" s="10" t="s">
        <v>33</v>
      </c>
      <c r="N26" s="10" t="s">
        <v>34</v>
      </c>
      <c r="O26" s="10"/>
      <c r="P26" s="10" t="s">
        <v>35</v>
      </c>
      <c r="Q26" s="10" t="s">
        <v>36</v>
      </c>
      <c r="R26" s="10" t="s">
        <v>37</v>
      </c>
      <c r="S26" s="10" t="s">
        <v>38</v>
      </c>
      <c r="T26" s="17"/>
      <c r="U26" s="10"/>
      <c r="V26" s="17"/>
    </row>
    <row r="27" spans="2:22" x14ac:dyDescent="0.3">
      <c r="B27" s="10">
        <v>21</v>
      </c>
      <c r="C27" s="11" t="str">
        <f>LEFT(D27,2)&amp;LEFT(E27,2)&amp;LEFT(F27,2)&amp;LEFT(G27,3)</f>
        <v>304010001</v>
      </c>
      <c r="D27" s="11" t="s">
        <v>85</v>
      </c>
      <c r="E27" s="11" t="s">
        <v>95</v>
      </c>
      <c r="F27" s="11" t="s">
        <v>96</v>
      </c>
      <c r="G27" s="11" t="s">
        <v>97</v>
      </c>
      <c r="H27" s="32" t="s">
        <v>129</v>
      </c>
      <c r="I27" s="11"/>
      <c r="J27" s="15">
        <v>45470</v>
      </c>
      <c r="K27" s="10" t="s">
        <v>31</v>
      </c>
      <c r="L27" s="19" t="s">
        <v>88</v>
      </c>
      <c r="M27" s="10" t="s">
        <v>33</v>
      </c>
      <c r="N27" s="10" t="s">
        <v>34</v>
      </c>
      <c r="O27" s="10"/>
      <c r="P27" s="10" t="s">
        <v>35</v>
      </c>
      <c r="Q27" s="10" t="s">
        <v>36</v>
      </c>
      <c r="R27" s="10" t="s">
        <v>37</v>
      </c>
      <c r="S27" s="10" t="s">
        <v>38</v>
      </c>
      <c r="T27" s="17"/>
      <c r="U27" s="10"/>
      <c r="V27" s="17"/>
    </row>
    <row r="28" spans="2:22" x14ac:dyDescent="0.3">
      <c r="B28" s="10">
        <v>22</v>
      </c>
      <c r="C28" s="11" t="str">
        <f t="shared" ref="C28:C30" si="3">LEFT(D28,2)&amp;LEFT(E28,2)&amp;LEFT(F28,2)&amp;LEFT(G28,3)</f>
        <v>401010001</v>
      </c>
      <c r="D28" s="11" t="s">
        <v>98</v>
      </c>
      <c r="E28" s="11" t="s">
        <v>86</v>
      </c>
      <c r="F28" s="11" t="s">
        <v>86</v>
      </c>
      <c r="G28" s="11" t="s">
        <v>87</v>
      </c>
      <c r="H28" s="33" t="s">
        <v>130</v>
      </c>
      <c r="I28" s="11"/>
      <c r="J28" s="15">
        <v>45470</v>
      </c>
      <c r="K28" s="10" t="s">
        <v>31</v>
      </c>
      <c r="L28" s="19" t="s">
        <v>88</v>
      </c>
      <c r="M28" s="10" t="s">
        <v>33</v>
      </c>
      <c r="N28" s="10" t="s">
        <v>34</v>
      </c>
      <c r="O28" s="10"/>
      <c r="P28" s="10" t="s">
        <v>35</v>
      </c>
      <c r="Q28" s="10" t="s">
        <v>36</v>
      </c>
      <c r="R28" s="10" t="s">
        <v>37</v>
      </c>
      <c r="S28" s="10" t="s">
        <v>38</v>
      </c>
      <c r="T28" s="17"/>
      <c r="U28" s="10"/>
      <c r="V28" s="17"/>
    </row>
    <row r="29" spans="2:22" x14ac:dyDescent="0.3">
      <c r="B29" s="10">
        <v>23</v>
      </c>
      <c r="C29" s="11" t="str">
        <f t="shared" si="3"/>
        <v>402020001</v>
      </c>
      <c r="D29" s="11" t="s">
        <v>98</v>
      </c>
      <c r="E29" s="11" t="s">
        <v>89</v>
      </c>
      <c r="F29" s="11" t="s">
        <v>89</v>
      </c>
      <c r="G29" s="11" t="s">
        <v>91</v>
      </c>
      <c r="H29" s="32" t="s">
        <v>131</v>
      </c>
      <c r="I29" s="11"/>
      <c r="J29" s="15">
        <v>45470</v>
      </c>
      <c r="K29" s="10" t="s">
        <v>31</v>
      </c>
      <c r="L29" s="19" t="s">
        <v>88</v>
      </c>
      <c r="M29" s="10" t="s">
        <v>33</v>
      </c>
      <c r="N29" s="10" t="s">
        <v>34</v>
      </c>
      <c r="O29" s="10"/>
      <c r="P29" s="10" t="s">
        <v>35</v>
      </c>
      <c r="Q29" s="10" t="s">
        <v>36</v>
      </c>
      <c r="R29" s="10" t="s">
        <v>37</v>
      </c>
      <c r="S29" s="10" t="s">
        <v>38</v>
      </c>
      <c r="T29" s="17"/>
      <c r="U29" s="10"/>
      <c r="V29" s="17"/>
    </row>
    <row r="30" spans="2:22" x14ac:dyDescent="0.3">
      <c r="B30" s="10">
        <v>24</v>
      </c>
      <c r="C30" s="11" t="str">
        <f t="shared" si="3"/>
        <v>403030001</v>
      </c>
      <c r="D30" s="11" t="s">
        <v>98</v>
      </c>
      <c r="E30" s="11" t="s">
        <v>92</v>
      </c>
      <c r="F30" s="11" t="s">
        <v>92</v>
      </c>
      <c r="G30" s="11" t="s">
        <v>94</v>
      </c>
      <c r="H30" s="32" t="s">
        <v>132</v>
      </c>
      <c r="I30" s="11"/>
      <c r="J30" s="15">
        <v>45470</v>
      </c>
      <c r="K30" s="10" t="s">
        <v>31</v>
      </c>
      <c r="L30" s="19" t="s">
        <v>88</v>
      </c>
      <c r="M30" s="10" t="s">
        <v>33</v>
      </c>
      <c r="N30" s="10" t="s">
        <v>34</v>
      </c>
      <c r="O30" s="10"/>
      <c r="P30" s="10" t="s">
        <v>35</v>
      </c>
      <c r="Q30" s="10" t="s">
        <v>36</v>
      </c>
      <c r="R30" s="10" t="s">
        <v>37</v>
      </c>
      <c r="S30" s="10" t="s">
        <v>38</v>
      </c>
      <c r="T30" s="17"/>
      <c r="U30" s="10"/>
      <c r="V30" s="17"/>
    </row>
    <row r="31" spans="2:22" ht="40.5" x14ac:dyDescent="0.3">
      <c r="B31" s="10">
        <v>25</v>
      </c>
      <c r="C31" s="11" t="str">
        <f>LEFT(D31,2)&amp;LEFT(E31,2)&amp;LEFT(F31,2)&amp;LEFT(G31,3)</f>
        <v>501010001</v>
      </c>
      <c r="D31" s="12" t="s">
        <v>99</v>
      </c>
      <c r="E31" s="12" t="s">
        <v>100</v>
      </c>
      <c r="F31" s="12" t="s">
        <v>100</v>
      </c>
      <c r="G31" s="12" t="s">
        <v>101</v>
      </c>
      <c r="H31" s="34" t="s">
        <v>133</v>
      </c>
      <c r="I31" s="11"/>
      <c r="J31" s="15">
        <v>45470</v>
      </c>
      <c r="K31" s="10" t="s">
        <v>31</v>
      </c>
      <c r="L31" s="16" t="s">
        <v>32</v>
      </c>
      <c r="M31" s="10" t="s">
        <v>33</v>
      </c>
      <c r="N31" s="10" t="s">
        <v>34</v>
      </c>
      <c r="O31" s="10"/>
      <c r="P31" s="10" t="s">
        <v>35</v>
      </c>
      <c r="Q31" s="10" t="s">
        <v>36</v>
      </c>
      <c r="R31" s="10" t="s">
        <v>37</v>
      </c>
      <c r="S31" s="10" t="s">
        <v>38</v>
      </c>
      <c r="T31" s="17"/>
      <c r="U31" s="10"/>
      <c r="V31" s="17"/>
    </row>
    <row r="32" spans="2:22" ht="54" x14ac:dyDescent="0.3">
      <c r="B32" s="10">
        <v>26</v>
      </c>
      <c r="C32" s="11" t="str">
        <f t="shared" ref="C32:C34" si="4">LEFT(D32,2)&amp;LEFT(E32,2)&amp;LEFT(F32,2)&amp;LEFT(G32,3)</f>
        <v>601010001</v>
      </c>
      <c r="D32" s="11" t="s">
        <v>102</v>
      </c>
      <c r="E32" s="11" t="s">
        <v>103</v>
      </c>
      <c r="F32" s="11" t="s">
        <v>103</v>
      </c>
      <c r="G32" s="11" t="s">
        <v>104</v>
      </c>
      <c r="H32" s="33" t="s">
        <v>134</v>
      </c>
      <c r="I32" s="11"/>
      <c r="J32" s="15">
        <v>45470</v>
      </c>
      <c r="K32" s="10" t="s">
        <v>105</v>
      </c>
      <c r="L32" s="19" t="s">
        <v>106</v>
      </c>
      <c r="M32" s="10" t="s">
        <v>33</v>
      </c>
      <c r="N32" s="10" t="s">
        <v>34</v>
      </c>
      <c r="O32" s="10"/>
      <c r="P32" s="10" t="s">
        <v>35</v>
      </c>
      <c r="Q32" s="10" t="s">
        <v>36</v>
      </c>
      <c r="R32" s="10" t="s">
        <v>37</v>
      </c>
      <c r="S32" s="10" t="s">
        <v>38</v>
      </c>
      <c r="T32" s="17"/>
      <c r="U32" s="10"/>
      <c r="V32" s="17"/>
    </row>
    <row r="33" spans="2:22" ht="54" x14ac:dyDescent="0.3">
      <c r="B33" s="10">
        <v>27</v>
      </c>
      <c r="C33" s="11" t="str">
        <f t="shared" si="4"/>
        <v>701010001</v>
      </c>
      <c r="D33" s="11" t="s">
        <v>107</v>
      </c>
      <c r="E33" s="11" t="s">
        <v>103</v>
      </c>
      <c r="F33" s="11" t="s">
        <v>103</v>
      </c>
      <c r="G33" s="11" t="s">
        <v>104</v>
      </c>
      <c r="H33" s="33" t="s">
        <v>134</v>
      </c>
      <c r="I33" s="11"/>
      <c r="J33" s="15">
        <v>45470</v>
      </c>
      <c r="K33" s="10" t="s">
        <v>105</v>
      </c>
      <c r="L33" s="19" t="s">
        <v>106</v>
      </c>
      <c r="M33" s="10" t="s">
        <v>33</v>
      </c>
      <c r="N33" s="10" t="s">
        <v>34</v>
      </c>
      <c r="O33" s="10"/>
      <c r="P33" s="10" t="s">
        <v>35</v>
      </c>
      <c r="Q33" s="10" t="s">
        <v>36</v>
      </c>
      <c r="R33" s="10" t="s">
        <v>37</v>
      </c>
      <c r="S33" s="10" t="s">
        <v>38</v>
      </c>
      <c r="T33" s="17"/>
      <c r="U33" s="10"/>
      <c r="V33" s="17"/>
    </row>
    <row r="34" spans="2:22" ht="40.5" x14ac:dyDescent="0.3">
      <c r="B34" s="10">
        <v>28</v>
      </c>
      <c r="C34" s="11" t="str">
        <f t="shared" si="4"/>
        <v>801010001</v>
      </c>
      <c r="D34" s="11" t="s">
        <v>163</v>
      </c>
      <c r="E34" s="11" t="s">
        <v>164</v>
      </c>
      <c r="F34" s="13" t="s">
        <v>165</v>
      </c>
      <c r="G34" s="13" t="s">
        <v>170</v>
      </c>
      <c r="H34" s="14" t="s">
        <v>166</v>
      </c>
      <c r="I34" s="11"/>
      <c r="J34" s="15">
        <v>45470</v>
      </c>
      <c r="K34" s="10" t="s">
        <v>31</v>
      </c>
      <c r="L34" s="35" t="s">
        <v>106</v>
      </c>
      <c r="M34" s="10" t="s">
        <v>33</v>
      </c>
      <c r="N34" s="10" t="s">
        <v>34</v>
      </c>
      <c r="O34" s="11"/>
      <c r="P34" s="11"/>
      <c r="Q34" s="11"/>
      <c r="R34" s="11"/>
      <c r="S34" s="11"/>
      <c r="T34" s="11"/>
      <c r="U34" s="11"/>
      <c r="V34" s="11"/>
    </row>
    <row r="35" spans="2:22" ht="40.5" x14ac:dyDescent="0.3">
      <c r="B35" s="10">
        <v>29</v>
      </c>
      <c r="C35" s="11" t="str">
        <f t="shared" ref="C35:C40" si="5">LEFT(D35,2)&amp;LEFT(E35,2)&amp;LEFT(F35,2)&amp;LEFT(G35,3)</f>
        <v>802020001</v>
      </c>
      <c r="D35" s="11" t="s">
        <v>163</v>
      </c>
      <c r="E35" s="11" t="s">
        <v>173</v>
      </c>
      <c r="F35" s="11" t="s">
        <v>169</v>
      </c>
      <c r="G35" s="14" t="s">
        <v>177</v>
      </c>
      <c r="H35" s="13" t="s">
        <v>172</v>
      </c>
      <c r="I35" s="11"/>
      <c r="J35" s="15">
        <v>45470</v>
      </c>
      <c r="K35" s="10" t="s">
        <v>31</v>
      </c>
      <c r="L35" s="35" t="s">
        <v>106</v>
      </c>
      <c r="M35" s="10" t="s">
        <v>33</v>
      </c>
      <c r="N35" s="10" t="s">
        <v>34</v>
      </c>
      <c r="O35" s="11"/>
      <c r="P35" s="11"/>
      <c r="Q35" s="11"/>
      <c r="R35" s="11"/>
      <c r="S35" s="11"/>
      <c r="T35" s="11"/>
      <c r="U35" s="11"/>
      <c r="V35" s="11"/>
    </row>
    <row r="36" spans="2:22" ht="135" x14ac:dyDescent="0.3">
      <c r="B36" s="10">
        <v>30</v>
      </c>
      <c r="C36" s="11" t="str">
        <f>LEFT(D36,2)&amp;LEFT(E36,2)&amp;LEFT(F36,2)&amp;LEFT(G36,3)</f>
        <v>803010001</v>
      </c>
      <c r="D36" s="11" t="s">
        <v>163</v>
      </c>
      <c r="E36" s="11" t="s">
        <v>174</v>
      </c>
      <c r="F36" s="11" t="s">
        <v>168</v>
      </c>
      <c r="G36" s="13" t="s">
        <v>171</v>
      </c>
      <c r="H36" s="13" t="s">
        <v>167</v>
      </c>
      <c r="I36" s="11"/>
      <c r="J36" s="15">
        <v>45470</v>
      </c>
      <c r="K36" s="10" t="s">
        <v>31</v>
      </c>
      <c r="L36" s="35" t="s">
        <v>106</v>
      </c>
      <c r="M36" s="10" t="s">
        <v>33</v>
      </c>
      <c r="N36" s="10" t="s">
        <v>34</v>
      </c>
      <c r="O36" s="11"/>
      <c r="P36" s="11"/>
      <c r="Q36" s="11"/>
      <c r="R36" s="11"/>
      <c r="S36" s="11"/>
      <c r="T36" s="11"/>
      <c r="U36" s="11"/>
      <c r="V36" s="11"/>
    </row>
    <row r="37" spans="2:22" ht="189" x14ac:dyDescent="0.3">
      <c r="B37" s="10">
        <v>31</v>
      </c>
      <c r="C37" s="11" t="str">
        <f t="shared" si="5"/>
        <v>804010001</v>
      </c>
      <c r="D37" s="11" t="s">
        <v>163</v>
      </c>
      <c r="E37" s="11" t="s">
        <v>175</v>
      </c>
      <c r="F37" s="11" t="s">
        <v>178</v>
      </c>
      <c r="G37" s="13" t="s">
        <v>179</v>
      </c>
      <c r="H37" s="13" t="s">
        <v>182</v>
      </c>
      <c r="I37" s="11"/>
      <c r="J37" s="15">
        <v>45470</v>
      </c>
      <c r="K37" s="10" t="s">
        <v>31</v>
      </c>
      <c r="L37" s="35" t="s">
        <v>106</v>
      </c>
      <c r="M37" s="10" t="s">
        <v>33</v>
      </c>
      <c r="N37" s="10" t="s">
        <v>34</v>
      </c>
      <c r="O37" s="11"/>
      <c r="P37" s="11"/>
      <c r="Q37" s="11"/>
      <c r="R37" s="11"/>
      <c r="S37" s="11"/>
      <c r="T37" s="11"/>
      <c r="U37" s="11"/>
      <c r="V37" s="11"/>
    </row>
    <row r="38" spans="2:22" ht="202.5" x14ac:dyDescent="0.3">
      <c r="B38" s="10">
        <v>32</v>
      </c>
      <c r="C38" s="11" t="str">
        <f t="shared" ref="C38" si="6">LEFT(D38,2)&amp;LEFT(E38,2)&amp;LEFT(F38,2)&amp;LEFT(G38,3)</f>
        <v>804020001</v>
      </c>
      <c r="D38" s="11" t="s">
        <v>163</v>
      </c>
      <c r="E38" s="11" t="s">
        <v>175</v>
      </c>
      <c r="F38" s="11" t="s">
        <v>180</v>
      </c>
      <c r="G38" s="13" t="s">
        <v>181</v>
      </c>
      <c r="H38" s="13" t="s">
        <v>183</v>
      </c>
      <c r="I38" s="11"/>
      <c r="J38" s="15">
        <v>45470</v>
      </c>
      <c r="K38" s="10" t="s">
        <v>31</v>
      </c>
      <c r="L38" s="35" t="s">
        <v>106</v>
      </c>
      <c r="M38" s="10" t="s">
        <v>33</v>
      </c>
      <c r="N38" s="10" t="s">
        <v>34</v>
      </c>
      <c r="O38" s="11"/>
      <c r="P38" s="11"/>
      <c r="Q38" s="11"/>
      <c r="R38" s="11"/>
      <c r="S38" s="11"/>
      <c r="T38" s="11"/>
      <c r="U38" s="11"/>
      <c r="V38" s="11"/>
    </row>
    <row r="39" spans="2:22" ht="108" x14ac:dyDescent="0.3">
      <c r="B39" s="10">
        <v>33</v>
      </c>
      <c r="C39" s="11" t="str">
        <f t="shared" ref="C39" si="7">LEFT(D39,2)&amp;LEFT(E39,2)&amp;LEFT(F39,2)&amp;LEFT(G39,3)</f>
        <v>804030001</v>
      </c>
      <c r="D39" s="11" t="s">
        <v>163</v>
      </c>
      <c r="E39" s="11" t="s">
        <v>175</v>
      </c>
      <c r="F39" s="11" t="s">
        <v>184</v>
      </c>
      <c r="G39" s="13" t="s">
        <v>185</v>
      </c>
      <c r="H39" s="13" t="s">
        <v>186</v>
      </c>
      <c r="I39" s="11"/>
      <c r="J39" s="15">
        <v>45470</v>
      </c>
      <c r="K39" s="10" t="s">
        <v>31</v>
      </c>
      <c r="L39" s="35" t="s">
        <v>106</v>
      </c>
      <c r="M39" s="10" t="s">
        <v>33</v>
      </c>
      <c r="N39" s="10" t="s">
        <v>34</v>
      </c>
      <c r="O39" s="11"/>
      <c r="P39" s="11"/>
      <c r="Q39" s="11"/>
      <c r="R39" s="11"/>
      <c r="S39" s="11"/>
      <c r="T39" s="11"/>
      <c r="U39" s="11"/>
      <c r="V39" s="11"/>
    </row>
    <row r="40" spans="2:22" ht="121.5" x14ac:dyDescent="0.3">
      <c r="B40" s="10">
        <v>34</v>
      </c>
      <c r="C40" s="11" t="str">
        <f t="shared" si="5"/>
        <v>805010001</v>
      </c>
      <c r="D40" s="11" t="s">
        <v>163</v>
      </c>
      <c r="E40" s="11" t="s">
        <v>176</v>
      </c>
      <c r="F40" s="11" t="s">
        <v>201</v>
      </c>
      <c r="G40" s="13" t="s">
        <v>202</v>
      </c>
      <c r="H40" s="13" t="s">
        <v>187</v>
      </c>
      <c r="I40" s="11"/>
      <c r="J40" s="15">
        <v>45470</v>
      </c>
      <c r="K40" s="10" t="s">
        <v>31</v>
      </c>
      <c r="L40" s="35" t="s">
        <v>106</v>
      </c>
      <c r="M40" s="10" t="s">
        <v>33</v>
      </c>
      <c r="N40" s="10" t="s">
        <v>34</v>
      </c>
      <c r="O40" s="11"/>
      <c r="P40" s="11"/>
      <c r="Q40" s="11"/>
      <c r="R40" s="11"/>
      <c r="S40" s="11"/>
      <c r="T40" s="11"/>
      <c r="U40" s="11"/>
      <c r="V40" s="11"/>
    </row>
    <row r="41" spans="2:22" ht="81" x14ac:dyDescent="0.3">
      <c r="B41" s="10">
        <v>35</v>
      </c>
      <c r="C41" s="11" t="str">
        <f t="shared" ref="C41:C50" si="8">LEFT(D41,2)&amp;LEFT(E41,2)&amp;LEFT(F41,2)&amp;LEFT(G41,3)</f>
        <v>805010002</v>
      </c>
      <c r="D41" s="11" t="s">
        <v>163</v>
      </c>
      <c r="E41" s="11" t="s">
        <v>176</v>
      </c>
      <c r="F41" s="11" t="s">
        <v>201</v>
      </c>
      <c r="G41" s="13" t="s">
        <v>203</v>
      </c>
      <c r="H41" s="14" t="s">
        <v>188</v>
      </c>
      <c r="I41" s="11"/>
      <c r="J41" s="15">
        <v>45470</v>
      </c>
      <c r="K41" s="10" t="s">
        <v>31</v>
      </c>
      <c r="L41" s="35" t="s">
        <v>106</v>
      </c>
      <c r="M41" s="10" t="s">
        <v>33</v>
      </c>
      <c r="N41" s="10" t="s">
        <v>34</v>
      </c>
      <c r="O41" s="11"/>
      <c r="P41" s="11"/>
      <c r="Q41" s="11"/>
      <c r="R41" s="11"/>
      <c r="S41" s="11"/>
      <c r="T41" s="11"/>
      <c r="U41" s="11"/>
      <c r="V41" s="11"/>
    </row>
    <row r="42" spans="2:22" ht="27" x14ac:dyDescent="0.3">
      <c r="B42" s="10">
        <v>36</v>
      </c>
      <c r="C42" s="11" t="str">
        <f t="shared" si="8"/>
        <v>901010001</v>
      </c>
      <c r="D42" s="11" t="s">
        <v>191</v>
      </c>
      <c r="E42" s="11" t="s">
        <v>189</v>
      </c>
      <c r="F42" s="11" t="s">
        <v>190</v>
      </c>
      <c r="G42" s="13" t="s">
        <v>192</v>
      </c>
      <c r="H42" s="14" t="s">
        <v>198</v>
      </c>
      <c r="I42" s="11"/>
      <c r="J42" s="15">
        <v>45470</v>
      </c>
      <c r="K42" s="10" t="s">
        <v>31</v>
      </c>
      <c r="L42" s="35" t="s">
        <v>106</v>
      </c>
      <c r="M42" s="10" t="s">
        <v>33</v>
      </c>
      <c r="N42" s="10" t="s">
        <v>34</v>
      </c>
      <c r="O42" s="11"/>
      <c r="P42" s="11"/>
      <c r="Q42" s="11"/>
      <c r="R42" s="11"/>
      <c r="S42" s="11"/>
      <c r="T42" s="11"/>
      <c r="U42" s="11"/>
      <c r="V42" s="11"/>
    </row>
    <row r="43" spans="2:22" ht="40.5" x14ac:dyDescent="0.3">
      <c r="B43" s="10">
        <v>37</v>
      </c>
      <c r="C43" s="11" t="str">
        <f t="shared" si="8"/>
        <v>902020001</v>
      </c>
      <c r="D43" s="11" t="s">
        <v>191</v>
      </c>
      <c r="E43" s="11" t="s">
        <v>173</v>
      </c>
      <c r="F43" s="11" t="s">
        <v>169</v>
      </c>
      <c r="G43" s="14" t="s">
        <v>193</v>
      </c>
      <c r="H43" s="13" t="s">
        <v>172</v>
      </c>
      <c r="I43" s="11"/>
      <c r="J43" s="15">
        <v>45470</v>
      </c>
      <c r="K43" s="10" t="s">
        <v>31</v>
      </c>
      <c r="L43" s="35" t="s">
        <v>106</v>
      </c>
      <c r="M43" s="10" t="s">
        <v>33</v>
      </c>
      <c r="N43" s="10" t="s">
        <v>34</v>
      </c>
      <c r="O43" s="11"/>
      <c r="P43" s="11"/>
      <c r="Q43" s="11"/>
      <c r="R43" s="11"/>
      <c r="S43" s="11"/>
      <c r="T43" s="11"/>
      <c r="U43" s="11"/>
      <c r="V43" s="11"/>
    </row>
    <row r="44" spans="2:22" ht="27" x14ac:dyDescent="0.3">
      <c r="B44" s="10">
        <v>38</v>
      </c>
      <c r="C44" s="11" t="str">
        <f t="shared" si="8"/>
        <v>903010001</v>
      </c>
      <c r="D44" s="11" t="s">
        <v>191</v>
      </c>
      <c r="E44" s="11" t="s">
        <v>174</v>
      </c>
      <c r="F44" s="14" t="s">
        <v>168</v>
      </c>
      <c r="G44" s="13" t="s">
        <v>194</v>
      </c>
      <c r="H44" s="13" t="s">
        <v>199</v>
      </c>
      <c r="I44" s="11"/>
      <c r="J44" s="15">
        <v>45470</v>
      </c>
      <c r="K44" s="10" t="s">
        <v>31</v>
      </c>
      <c r="L44" s="35" t="s">
        <v>106</v>
      </c>
      <c r="M44" s="10" t="s">
        <v>33</v>
      </c>
      <c r="N44" s="10" t="s">
        <v>34</v>
      </c>
      <c r="O44" s="11"/>
      <c r="P44" s="11"/>
      <c r="Q44" s="11"/>
      <c r="R44" s="11"/>
      <c r="S44" s="11"/>
      <c r="T44" s="11"/>
      <c r="U44" s="11"/>
      <c r="V44" s="11"/>
    </row>
    <row r="45" spans="2:22" ht="54" x14ac:dyDescent="0.3">
      <c r="B45" s="10">
        <v>39</v>
      </c>
      <c r="C45" s="11" t="str">
        <f t="shared" si="8"/>
        <v>904010001</v>
      </c>
      <c r="D45" s="11" t="s">
        <v>191</v>
      </c>
      <c r="E45" s="11" t="s">
        <v>175</v>
      </c>
      <c r="F45" s="11" t="s">
        <v>178</v>
      </c>
      <c r="G45" s="13" t="s">
        <v>195</v>
      </c>
      <c r="H45" s="13" t="s">
        <v>200</v>
      </c>
      <c r="I45" s="11"/>
      <c r="J45" s="15">
        <v>45470</v>
      </c>
      <c r="K45" s="10" t="s">
        <v>31</v>
      </c>
      <c r="L45" s="35" t="s">
        <v>106</v>
      </c>
      <c r="M45" s="10" t="s">
        <v>33</v>
      </c>
      <c r="N45" s="10" t="s">
        <v>34</v>
      </c>
      <c r="O45" s="11"/>
      <c r="P45" s="11"/>
      <c r="Q45" s="11"/>
      <c r="R45" s="11"/>
      <c r="S45" s="11"/>
      <c r="T45" s="11"/>
      <c r="U45" s="11"/>
      <c r="V45" s="11"/>
    </row>
    <row r="46" spans="2:22" ht="54" x14ac:dyDescent="0.3">
      <c r="B46" s="10">
        <v>40</v>
      </c>
      <c r="C46" s="11" t="str">
        <f t="shared" si="8"/>
        <v>904020001</v>
      </c>
      <c r="D46" s="11" t="s">
        <v>191</v>
      </c>
      <c r="E46" s="11" t="s">
        <v>175</v>
      </c>
      <c r="F46" s="11" t="s">
        <v>180</v>
      </c>
      <c r="G46" s="13" t="s">
        <v>196</v>
      </c>
      <c r="H46" s="13" t="s">
        <v>200</v>
      </c>
      <c r="I46" s="11"/>
      <c r="J46" s="15">
        <v>45470</v>
      </c>
      <c r="K46" s="10" t="s">
        <v>31</v>
      </c>
      <c r="L46" s="35" t="s">
        <v>106</v>
      </c>
      <c r="M46" s="10" t="s">
        <v>33</v>
      </c>
      <c r="N46" s="10" t="s">
        <v>34</v>
      </c>
      <c r="O46" s="11"/>
      <c r="P46" s="11"/>
      <c r="Q46" s="11"/>
      <c r="R46" s="11"/>
      <c r="S46" s="11"/>
      <c r="T46" s="11"/>
      <c r="U46" s="11"/>
      <c r="V46" s="11"/>
    </row>
    <row r="47" spans="2:22" ht="54" x14ac:dyDescent="0.3">
      <c r="B47" s="10">
        <v>41</v>
      </c>
      <c r="C47" s="11" t="str">
        <f t="shared" si="8"/>
        <v>904030001</v>
      </c>
      <c r="D47" s="11" t="s">
        <v>191</v>
      </c>
      <c r="E47" s="11" t="s">
        <v>175</v>
      </c>
      <c r="F47" s="11" t="s">
        <v>184</v>
      </c>
      <c r="G47" s="13" t="s">
        <v>197</v>
      </c>
      <c r="H47" s="13" t="s">
        <v>199</v>
      </c>
      <c r="I47" s="11"/>
      <c r="J47" s="15">
        <v>45470</v>
      </c>
      <c r="K47" s="10" t="s">
        <v>31</v>
      </c>
      <c r="L47" s="35" t="s">
        <v>106</v>
      </c>
      <c r="M47" s="10" t="s">
        <v>33</v>
      </c>
      <c r="N47" s="10" t="s">
        <v>34</v>
      </c>
      <c r="O47" s="11"/>
      <c r="P47" s="11"/>
      <c r="Q47" s="11"/>
      <c r="R47" s="11"/>
      <c r="S47" s="11"/>
      <c r="T47" s="11"/>
      <c r="U47" s="11"/>
      <c r="V47" s="11"/>
    </row>
    <row r="48" spans="2:22" ht="40.5" x14ac:dyDescent="0.3">
      <c r="B48" s="10">
        <v>42</v>
      </c>
      <c r="C48" s="11" t="str">
        <f t="shared" si="8"/>
        <v>905010001</v>
      </c>
      <c r="D48" s="11" t="s">
        <v>191</v>
      </c>
      <c r="E48" s="11" t="s">
        <v>176</v>
      </c>
      <c r="F48" s="11" t="s">
        <v>201</v>
      </c>
      <c r="G48" s="13" t="s">
        <v>204</v>
      </c>
      <c r="H48" s="13" t="s">
        <v>206</v>
      </c>
      <c r="I48" s="11"/>
      <c r="J48" s="15">
        <v>45470</v>
      </c>
      <c r="K48" s="10" t="s">
        <v>31</v>
      </c>
      <c r="L48" s="35" t="s">
        <v>106</v>
      </c>
      <c r="M48" s="10" t="s">
        <v>33</v>
      </c>
      <c r="N48" s="10" t="s">
        <v>34</v>
      </c>
      <c r="O48" s="11"/>
      <c r="P48" s="11"/>
      <c r="Q48" s="11"/>
      <c r="R48" s="11"/>
      <c r="S48" s="11"/>
      <c r="T48" s="11"/>
      <c r="U48" s="11"/>
      <c r="V48" s="11"/>
    </row>
    <row r="49" spans="2:22" ht="40.5" x14ac:dyDescent="0.3">
      <c r="B49" s="10">
        <v>43</v>
      </c>
      <c r="C49" s="11" t="str">
        <f t="shared" ref="C49" si="9">LEFT(D49,2)&amp;LEFT(E49,2)&amp;LEFT(F49,2)&amp;LEFT(G49,3)</f>
        <v>905010002</v>
      </c>
      <c r="D49" s="11" t="s">
        <v>191</v>
      </c>
      <c r="E49" s="11" t="s">
        <v>176</v>
      </c>
      <c r="F49" s="11" t="s">
        <v>201</v>
      </c>
      <c r="G49" s="13" t="s">
        <v>205</v>
      </c>
      <c r="H49" s="13" t="s">
        <v>199</v>
      </c>
      <c r="I49" s="11"/>
      <c r="J49" s="15">
        <v>45470</v>
      </c>
      <c r="K49" s="10" t="s">
        <v>31</v>
      </c>
      <c r="L49" s="35" t="s">
        <v>106</v>
      </c>
      <c r="M49" s="10" t="s">
        <v>33</v>
      </c>
      <c r="N49" s="10" t="s">
        <v>34</v>
      </c>
      <c r="O49" s="11"/>
      <c r="P49" s="11"/>
      <c r="Q49" s="11"/>
      <c r="R49" s="11"/>
      <c r="S49" s="11"/>
      <c r="T49" s="11"/>
      <c r="U49" s="11"/>
      <c r="V49" s="11"/>
    </row>
    <row r="50" spans="2:22" ht="94.5" x14ac:dyDescent="0.3">
      <c r="B50" s="10">
        <v>44</v>
      </c>
      <c r="C50" s="11" t="str">
        <f t="shared" si="8"/>
        <v>905020001</v>
      </c>
      <c r="D50" s="11" t="s">
        <v>191</v>
      </c>
      <c r="E50" s="11" t="s">
        <v>176</v>
      </c>
      <c r="F50" s="11" t="s">
        <v>207</v>
      </c>
      <c r="G50" s="13" t="s">
        <v>208</v>
      </c>
      <c r="H50" s="13" t="s">
        <v>209</v>
      </c>
      <c r="I50" s="11"/>
      <c r="J50" s="15">
        <v>45470</v>
      </c>
      <c r="K50" s="10" t="s">
        <v>31</v>
      </c>
      <c r="L50" s="35" t="s">
        <v>106</v>
      </c>
      <c r="M50" s="10" t="s">
        <v>33</v>
      </c>
      <c r="N50" s="10" t="s">
        <v>34</v>
      </c>
      <c r="O50" s="11"/>
      <c r="P50" s="11"/>
      <c r="Q50" s="11"/>
      <c r="R50" s="11"/>
      <c r="S50" s="11"/>
      <c r="T50" s="11"/>
      <c r="U50" s="11"/>
      <c r="V50" s="11"/>
    </row>
    <row r="51" spans="2:22" ht="40.5" x14ac:dyDescent="0.3">
      <c r="B51" s="10">
        <v>45</v>
      </c>
      <c r="C51" s="11" t="str">
        <f t="shared" ref="C51:C52" si="10">LEFT(D51,2)&amp;LEFT(E51,2)&amp;LEFT(F51,2)&amp;LEFT(G51,3)</f>
        <v>905020002</v>
      </c>
      <c r="D51" s="11" t="s">
        <v>191</v>
      </c>
      <c r="E51" s="11" t="s">
        <v>176</v>
      </c>
      <c r="F51" s="11" t="s">
        <v>207</v>
      </c>
      <c r="G51" s="13" t="s">
        <v>210</v>
      </c>
      <c r="H51" s="14" t="s">
        <v>211</v>
      </c>
      <c r="I51" s="11"/>
      <c r="J51" s="15">
        <v>45470</v>
      </c>
      <c r="K51" s="10" t="s">
        <v>31</v>
      </c>
      <c r="L51" s="35" t="s">
        <v>106</v>
      </c>
      <c r="M51" s="10" t="s">
        <v>33</v>
      </c>
      <c r="N51" s="10" t="s">
        <v>34</v>
      </c>
      <c r="O51" s="11"/>
      <c r="P51" s="11"/>
      <c r="Q51" s="11"/>
      <c r="R51" s="11"/>
      <c r="S51" s="11"/>
      <c r="T51" s="11"/>
      <c r="U51" s="11"/>
      <c r="V51" s="11"/>
    </row>
    <row r="52" spans="2:22" ht="94.5" x14ac:dyDescent="0.3">
      <c r="B52" s="10">
        <v>46</v>
      </c>
      <c r="C52" s="11" t="str">
        <f t="shared" si="10"/>
        <v>905030001</v>
      </c>
      <c r="D52" s="11" t="s">
        <v>191</v>
      </c>
      <c r="E52" s="11" t="s">
        <v>176</v>
      </c>
      <c r="F52" s="11" t="s">
        <v>214</v>
      </c>
      <c r="G52" s="13" t="s">
        <v>212</v>
      </c>
      <c r="H52" s="13" t="s">
        <v>215</v>
      </c>
      <c r="I52" s="11"/>
      <c r="J52" s="15">
        <v>45470</v>
      </c>
      <c r="K52" s="10" t="s">
        <v>31</v>
      </c>
      <c r="L52" s="35" t="s">
        <v>106</v>
      </c>
      <c r="M52" s="10" t="s">
        <v>33</v>
      </c>
      <c r="N52" s="10" t="s">
        <v>34</v>
      </c>
      <c r="O52" s="11"/>
      <c r="P52" s="11"/>
      <c r="Q52" s="11"/>
      <c r="R52" s="11"/>
      <c r="S52" s="11"/>
      <c r="T52" s="11"/>
      <c r="U52" s="11"/>
      <c r="V52" s="11"/>
    </row>
    <row r="53" spans="2:22" ht="40.5" x14ac:dyDescent="0.3">
      <c r="B53" s="10">
        <v>47</v>
      </c>
      <c r="C53" s="11" t="str">
        <f t="shared" ref="C53" si="11">LEFT(D53,2)&amp;LEFT(E53,2)&amp;LEFT(F53,2)&amp;LEFT(G53,3)</f>
        <v>905030002</v>
      </c>
      <c r="D53" s="11" t="s">
        <v>191</v>
      </c>
      <c r="E53" s="11" t="s">
        <v>176</v>
      </c>
      <c r="F53" s="11" t="s">
        <v>214</v>
      </c>
      <c r="G53" s="13" t="s">
        <v>213</v>
      </c>
      <c r="H53" s="14" t="s">
        <v>211</v>
      </c>
      <c r="I53" s="11"/>
      <c r="J53" s="15">
        <v>45470</v>
      </c>
      <c r="K53" s="10" t="s">
        <v>31</v>
      </c>
      <c r="L53" s="35" t="s">
        <v>106</v>
      </c>
      <c r="M53" s="10" t="s">
        <v>33</v>
      </c>
      <c r="N53" s="10" t="s">
        <v>34</v>
      </c>
      <c r="O53" s="11"/>
      <c r="P53" s="11"/>
      <c r="Q53" s="11"/>
      <c r="R53" s="11"/>
      <c r="S53" s="11"/>
      <c r="T53" s="11"/>
      <c r="U53" s="11"/>
      <c r="V53" s="11"/>
    </row>
  </sheetData>
  <mergeCells count="16">
    <mergeCell ref="B2:V2"/>
    <mergeCell ref="B4:B5"/>
    <mergeCell ref="C4:C5"/>
    <mergeCell ref="D4:F4"/>
    <mergeCell ref="G4:G5"/>
    <mergeCell ref="H4:H5"/>
    <mergeCell ref="S4:S5"/>
    <mergeCell ref="T4:T5"/>
    <mergeCell ref="U4:U5"/>
    <mergeCell ref="V4:V5"/>
    <mergeCell ref="I4:I5"/>
    <mergeCell ref="J4:J5"/>
    <mergeCell ref="K4:L4"/>
    <mergeCell ref="M4:M5"/>
    <mergeCell ref="N4:O4"/>
    <mergeCell ref="P4:R4"/>
  </mergeCells>
  <phoneticPr fontId="2" type="noConversion"/>
  <dataValidations count="6">
    <dataValidation type="list" allowBlank="1" showInputMessage="1" showErrorMessage="1" sqref="N7:N53" xr:uid="{53F3A552-DC6B-4922-A313-EBFA2F0DAB15}">
      <formula1>"수용,보류,기각"</formula1>
    </dataValidation>
    <dataValidation type="list" allowBlank="1" showInputMessage="1" showErrorMessage="1" sqref="L7:L53" xr:uid="{7897FC20-9A50-4D90-A02D-F1C38394E70D}">
      <formula1>"기능,데이터,H/W I/F,S/W I/F,커뮤니케이션 I/F,보안성,성능,신뢰성,사용성,효율성,유지보수성,이식성,기타"</formula1>
    </dataValidation>
    <dataValidation type="list" allowBlank="1" showInputMessage="1" showErrorMessage="1" sqref="K7:K53" xr:uid="{62841F2B-6716-423E-98DA-69B24F7A2801}">
      <formula1>"S/W요구사항,와부I/F요구사항,품질요구사항,기타요구사항"</formula1>
    </dataValidation>
    <dataValidation type="list" allowBlank="1" showInputMessage="1" showErrorMessage="1" sqref="M7:M53" xr:uid="{AA57198D-036D-4B9E-BCCD-1C10ED82AD75}">
      <formula1>"상,중,하"</formula1>
    </dataValidation>
    <dataValidation type="list" allowBlank="1" showInputMessage="1" showErrorMessage="1" sqref="S7:S33" xr:uid="{70BA427A-15A6-4117-8B92-61B0A2375708}">
      <formula1>"신규,변경,보류,삭제,추가"</formula1>
    </dataValidation>
    <dataValidation type="list" allowBlank="1" showInputMessage="1" showErrorMessage="1" sqref="O7:O33" xr:uid="{F3B28F8B-7E1F-4B4D-8C22-FB0046DA0395}">
      <formula1>"수용,보류,기각,삭제"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4134-4FAB-4A47-BFFF-7C7D9D24E4BE}">
  <dimension ref="A2:AD39"/>
  <sheetViews>
    <sheetView topLeftCell="A25" zoomScale="85" zoomScaleNormal="85" workbookViewId="0">
      <selection activeCell="H28" sqref="H28"/>
    </sheetView>
  </sheetViews>
  <sheetFormatPr defaultColWidth="0" defaultRowHeight="13.5" x14ac:dyDescent="0.3"/>
  <cols>
    <col min="1" max="1" width="2" style="1" customWidth="1"/>
    <col min="2" max="2" width="5.75" style="1" customWidth="1"/>
    <col min="3" max="3" width="13.375" style="1" customWidth="1"/>
    <col min="4" max="4" width="23.5" style="1" customWidth="1"/>
    <col min="5" max="5" width="13.875" style="1" customWidth="1"/>
    <col min="6" max="6" width="19.125" style="1" customWidth="1"/>
    <col min="7" max="7" width="20.875" style="1" customWidth="1"/>
    <col min="8" max="8" width="80.375" style="1" customWidth="1"/>
    <col min="9" max="9" width="26.125" style="1" customWidth="1"/>
    <col min="10" max="10" width="17.5" style="20" customWidth="1"/>
    <col min="11" max="11" width="13.625" style="1" customWidth="1"/>
    <col min="12" max="14" width="10" style="1" customWidth="1"/>
    <col min="15" max="15" width="25.875" style="1" customWidth="1"/>
    <col min="16" max="16" width="27.25" style="1" customWidth="1"/>
    <col min="17" max="17" width="21.875" style="1" customWidth="1"/>
    <col min="18" max="18" width="10" style="1" customWidth="1"/>
    <col min="19" max="19" width="7.5" style="1" bestFit="1" customWidth="1"/>
    <col min="20" max="20" width="49.5" style="1" customWidth="1"/>
    <col min="21" max="21" width="31.5" style="1" customWidth="1"/>
    <col min="22" max="22" width="10" style="1" customWidth="1"/>
    <col min="23" max="23" width="2" style="1" customWidth="1"/>
    <col min="24" max="30" width="0" style="1" hidden="1" customWidth="1"/>
    <col min="31" max="16384" width="10" style="1" hidden="1"/>
  </cols>
  <sheetData>
    <row r="2" spans="2:22" ht="26.25" x14ac:dyDescent="0.3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</row>
    <row r="4" spans="2:22" x14ac:dyDescent="0.3">
      <c r="B4" s="21" t="s">
        <v>1</v>
      </c>
      <c r="C4" s="21" t="s">
        <v>2</v>
      </c>
      <c r="D4" s="21" t="s">
        <v>3</v>
      </c>
      <c r="E4" s="21"/>
      <c r="F4" s="21"/>
      <c r="G4" s="21" t="s">
        <v>4</v>
      </c>
      <c r="H4" s="23" t="s">
        <v>5</v>
      </c>
      <c r="I4" s="23" t="s">
        <v>6</v>
      </c>
      <c r="J4" s="25" t="s">
        <v>7</v>
      </c>
      <c r="K4" s="21" t="s">
        <v>8</v>
      </c>
      <c r="L4" s="21"/>
      <c r="M4" s="21" t="s">
        <v>9</v>
      </c>
      <c r="N4" s="27" t="s">
        <v>10</v>
      </c>
      <c r="O4" s="28"/>
      <c r="P4" s="21" t="s">
        <v>11</v>
      </c>
      <c r="Q4" s="21"/>
      <c r="R4" s="21"/>
      <c r="S4" s="21" t="s">
        <v>12</v>
      </c>
      <c r="T4" s="22" t="s">
        <v>13</v>
      </c>
      <c r="U4" s="22" t="s">
        <v>14</v>
      </c>
      <c r="V4" s="22" t="s">
        <v>15</v>
      </c>
    </row>
    <row r="5" spans="2:22" ht="27" x14ac:dyDescent="0.3">
      <c r="B5" s="21"/>
      <c r="C5" s="21"/>
      <c r="D5" s="2" t="s">
        <v>16</v>
      </c>
      <c r="E5" s="2" t="s">
        <v>17</v>
      </c>
      <c r="F5" s="2" t="s">
        <v>18</v>
      </c>
      <c r="G5" s="21"/>
      <c r="H5" s="24"/>
      <c r="I5" s="24"/>
      <c r="J5" s="26"/>
      <c r="K5" s="2" t="s">
        <v>19</v>
      </c>
      <c r="L5" s="2" t="s">
        <v>20</v>
      </c>
      <c r="M5" s="21"/>
      <c r="N5" s="3" t="s">
        <v>21</v>
      </c>
      <c r="O5" s="6" t="s">
        <v>22</v>
      </c>
      <c r="P5" s="2" t="s">
        <v>23</v>
      </c>
      <c r="Q5" s="2" t="s">
        <v>24</v>
      </c>
      <c r="R5" s="2" t="s">
        <v>25</v>
      </c>
      <c r="S5" s="21"/>
      <c r="T5" s="22"/>
      <c r="U5" s="22"/>
      <c r="V5" s="22"/>
    </row>
    <row r="6" spans="2:22" x14ac:dyDescent="0.3">
      <c r="B6" s="4"/>
      <c r="C6" s="4"/>
      <c r="D6" s="4"/>
      <c r="E6" s="4"/>
      <c r="F6" s="4"/>
      <c r="G6" s="4"/>
      <c r="H6" s="4"/>
      <c r="I6" s="4"/>
      <c r="J6" s="5"/>
      <c r="K6" s="4"/>
      <c r="L6" s="4"/>
      <c r="M6" s="4"/>
      <c r="N6" s="7"/>
      <c r="O6" s="8"/>
      <c r="P6" s="4"/>
      <c r="Q6" s="4"/>
      <c r="R6" s="4"/>
      <c r="S6" s="4"/>
      <c r="T6" s="9"/>
      <c r="U6" s="9"/>
      <c r="V6" s="9"/>
    </row>
    <row r="7" spans="2:22" ht="54" x14ac:dyDescent="0.3">
      <c r="B7" s="10">
        <v>1</v>
      </c>
      <c r="C7" s="11" t="str">
        <f t="shared" ref="C7:C27" si="0">LEFT(D7,2)&amp;LEFT(E7,2)&amp;LEFT(F7,2)&amp;LEFT(G7,3)</f>
        <v>101010001</v>
      </c>
      <c r="D7" s="12" t="s">
        <v>26</v>
      </c>
      <c r="E7" s="13" t="s">
        <v>27</v>
      </c>
      <c r="F7" s="13" t="s">
        <v>28</v>
      </c>
      <c r="G7" s="13" t="s">
        <v>29</v>
      </c>
      <c r="H7" s="14" t="s">
        <v>30</v>
      </c>
      <c r="I7" s="11"/>
      <c r="J7" s="15">
        <v>45470</v>
      </c>
      <c r="K7" s="10" t="s">
        <v>31</v>
      </c>
      <c r="L7" s="16" t="s">
        <v>32</v>
      </c>
      <c r="M7" s="10" t="s">
        <v>33</v>
      </c>
      <c r="N7" s="10" t="s">
        <v>34</v>
      </c>
      <c r="O7" s="10"/>
      <c r="P7" s="10" t="s">
        <v>35</v>
      </c>
      <c r="Q7" s="10" t="s">
        <v>36</v>
      </c>
      <c r="R7" s="10" t="s">
        <v>37</v>
      </c>
      <c r="S7" s="10" t="s">
        <v>38</v>
      </c>
      <c r="T7" s="17"/>
      <c r="U7" s="10"/>
      <c r="V7" s="17"/>
    </row>
    <row r="8" spans="2:22" ht="27" x14ac:dyDescent="0.3">
      <c r="B8" s="10">
        <v>2</v>
      </c>
      <c r="C8" s="11" t="str">
        <f t="shared" si="0"/>
        <v>101020001</v>
      </c>
      <c r="D8" s="12" t="s">
        <v>26</v>
      </c>
      <c r="E8" s="13" t="s">
        <v>27</v>
      </c>
      <c r="F8" s="13" t="s">
        <v>39</v>
      </c>
      <c r="G8" s="13" t="s">
        <v>40</v>
      </c>
      <c r="H8" s="14" t="s">
        <v>41</v>
      </c>
      <c r="I8" s="11"/>
      <c r="J8" s="15">
        <v>45470</v>
      </c>
      <c r="K8" s="10" t="s">
        <v>31</v>
      </c>
      <c r="L8" s="16" t="s">
        <v>32</v>
      </c>
      <c r="M8" s="10" t="s">
        <v>33</v>
      </c>
      <c r="N8" s="10" t="s">
        <v>34</v>
      </c>
      <c r="O8" s="10"/>
      <c r="P8" s="10" t="s">
        <v>35</v>
      </c>
      <c r="Q8" s="10" t="s">
        <v>36</v>
      </c>
      <c r="R8" s="10" t="s">
        <v>37</v>
      </c>
      <c r="S8" s="10" t="s">
        <v>38</v>
      </c>
      <c r="T8" s="17"/>
      <c r="U8" s="10"/>
      <c r="V8" s="17"/>
    </row>
    <row r="9" spans="2:22" ht="189" x14ac:dyDescent="0.3">
      <c r="B9" s="10">
        <v>3</v>
      </c>
      <c r="C9" s="11" t="str">
        <f t="shared" si="0"/>
        <v>102010001</v>
      </c>
      <c r="D9" s="12" t="s">
        <v>26</v>
      </c>
      <c r="E9" s="13" t="s">
        <v>42</v>
      </c>
      <c r="F9" s="13" t="s">
        <v>43</v>
      </c>
      <c r="G9" s="13" t="s">
        <v>44</v>
      </c>
      <c r="H9" s="13" t="s">
        <v>108</v>
      </c>
      <c r="I9" s="14" t="s">
        <v>45</v>
      </c>
      <c r="J9" s="15">
        <v>45470</v>
      </c>
      <c r="K9" s="10" t="s">
        <v>31</v>
      </c>
      <c r="L9" s="16" t="s">
        <v>32</v>
      </c>
      <c r="M9" s="10" t="s">
        <v>33</v>
      </c>
      <c r="N9" s="10" t="s">
        <v>34</v>
      </c>
      <c r="O9" s="10"/>
      <c r="P9" s="10" t="s">
        <v>35</v>
      </c>
      <c r="Q9" s="10" t="s">
        <v>36</v>
      </c>
      <c r="R9" s="10" t="s">
        <v>37</v>
      </c>
      <c r="S9" s="10" t="s">
        <v>38</v>
      </c>
      <c r="T9" s="18"/>
      <c r="U9" s="10"/>
      <c r="V9" s="17"/>
    </row>
    <row r="10" spans="2:22" ht="121.5" x14ac:dyDescent="0.3">
      <c r="B10" s="10">
        <v>4</v>
      </c>
      <c r="C10" s="11" t="str">
        <f t="shared" si="0"/>
        <v>102020001</v>
      </c>
      <c r="D10" s="12" t="s">
        <v>26</v>
      </c>
      <c r="E10" s="13" t="s">
        <v>42</v>
      </c>
      <c r="F10" s="13" t="s">
        <v>46</v>
      </c>
      <c r="G10" s="13" t="s">
        <v>47</v>
      </c>
      <c r="H10" s="13" t="s">
        <v>109</v>
      </c>
      <c r="I10" s="11"/>
      <c r="J10" s="15">
        <v>45470</v>
      </c>
      <c r="K10" s="10" t="s">
        <v>31</v>
      </c>
      <c r="L10" s="16" t="s">
        <v>32</v>
      </c>
      <c r="M10" s="10" t="s">
        <v>33</v>
      </c>
      <c r="N10" s="10" t="s">
        <v>34</v>
      </c>
      <c r="O10" s="10"/>
      <c r="P10" s="10" t="s">
        <v>35</v>
      </c>
      <c r="Q10" s="10" t="s">
        <v>36</v>
      </c>
      <c r="R10" s="10" t="s">
        <v>37</v>
      </c>
      <c r="S10" s="10" t="s">
        <v>38</v>
      </c>
      <c r="T10" s="13"/>
      <c r="U10" s="13"/>
      <c r="V10" s="17"/>
    </row>
    <row r="11" spans="2:22" ht="67.5" x14ac:dyDescent="0.3">
      <c r="B11" s="10">
        <v>5</v>
      </c>
      <c r="C11" s="11" t="str">
        <f t="shared" si="0"/>
        <v>103010001</v>
      </c>
      <c r="D11" s="12" t="s">
        <v>26</v>
      </c>
      <c r="E11" s="13" t="s">
        <v>48</v>
      </c>
      <c r="F11" s="13" t="s">
        <v>26</v>
      </c>
      <c r="G11" s="13" t="s">
        <v>49</v>
      </c>
      <c r="H11" s="13" t="s">
        <v>110</v>
      </c>
      <c r="I11" s="11"/>
      <c r="J11" s="15">
        <v>45470</v>
      </c>
      <c r="K11" s="10" t="s">
        <v>31</v>
      </c>
      <c r="L11" s="16" t="s">
        <v>32</v>
      </c>
      <c r="M11" s="10" t="s">
        <v>33</v>
      </c>
      <c r="N11" s="10" t="s">
        <v>34</v>
      </c>
      <c r="O11" s="10"/>
      <c r="P11" s="10" t="s">
        <v>35</v>
      </c>
      <c r="Q11" s="10" t="s">
        <v>36</v>
      </c>
      <c r="R11" s="10" t="s">
        <v>37</v>
      </c>
      <c r="S11" s="10" t="s">
        <v>38</v>
      </c>
      <c r="T11" s="17"/>
      <c r="U11" s="10"/>
      <c r="V11" s="17"/>
    </row>
    <row r="12" spans="2:22" ht="54" x14ac:dyDescent="0.3">
      <c r="B12" s="10">
        <v>6</v>
      </c>
      <c r="C12" s="11" t="str">
        <f t="shared" si="0"/>
        <v>103020001</v>
      </c>
      <c r="D12" s="12" t="s">
        <v>26</v>
      </c>
      <c r="E12" s="13" t="s">
        <v>48</v>
      </c>
      <c r="F12" s="13" t="s">
        <v>50</v>
      </c>
      <c r="G12" s="13" t="s">
        <v>51</v>
      </c>
      <c r="H12" s="13" t="s">
        <v>111</v>
      </c>
      <c r="I12" s="11"/>
      <c r="J12" s="15">
        <v>45470</v>
      </c>
      <c r="K12" s="10" t="s">
        <v>31</v>
      </c>
      <c r="L12" s="16" t="s">
        <v>32</v>
      </c>
      <c r="M12" s="10" t="s">
        <v>33</v>
      </c>
      <c r="N12" s="10" t="s">
        <v>34</v>
      </c>
      <c r="O12" s="10"/>
      <c r="P12" s="10" t="s">
        <v>35</v>
      </c>
      <c r="Q12" s="10" t="s">
        <v>36</v>
      </c>
      <c r="R12" s="10" t="s">
        <v>37</v>
      </c>
      <c r="S12" s="10" t="s">
        <v>38</v>
      </c>
      <c r="T12" s="17"/>
      <c r="U12" s="10"/>
      <c r="V12" s="17"/>
    </row>
    <row r="13" spans="2:22" ht="40.5" x14ac:dyDescent="0.3">
      <c r="B13" s="10">
        <v>7</v>
      </c>
      <c r="C13" s="11" t="str">
        <f t="shared" si="0"/>
        <v>103030001</v>
      </c>
      <c r="D13" s="12" t="s">
        <v>26</v>
      </c>
      <c r="E13" s="13" t="s">
        <v>48</v>
      </c>
      <c r="F13" s="13" t="s">
        <v>52</v>
      </c>
      <c r="G13" s="13" t="s">
        <v>53</v>
      </c>
      <c r="H13" s="13" t="s">
        <v>112</v>
      </c>
      <c r="I13" s="11"/>
      <c r="J13" s="15">
        <v>45470</v>
      </c>
      <c r="K13" s="10" t="s">
        <v>31</v>
      </c>
      <c r="L13" s="16" t="s">
        <v>32</v>
      </c>
      <c r="M13" s="10" t="s">
        <v>33</v>
      </c>
      <c r="N13" s="10" t="s">
        <v>34</v>
      </c>
      <c r="O13" s="10"/>
      <c r="P13" s="10" t="s">
        <v>35</v>
      </c>
      <c r="Q13" s="10" t="s">
        <v>36</v>
      </c>
      <c r="R13" s="10" t="s">
        <v>37</v>
      </c>
      <c r="S13" s="10" t="s">
        <v>38</v>
      </c>
      <c r="T13" s="17"/>
      <c r="U13" s="10"/>
      <c r="V13" s="17"/>
    </row>
    <row r="14" spans="2:22" ht="94.5" x14ac:dyDescent="0.3">
      <c r="B14" s="10">
        <v>8</v>
      </c>
      <c r="C14" s="11" t="str">
        <f t="shared" si="0"/>
        <v>103040001</v>
      </c>
      <c r="D14" s="12" t="s">
        <v>26</v>
      </c>
      <c r="E14" s="13" t="s">
        <v>48</v>
      </c>
      <c r="F14" s="13" t="s">
        <v>54</v>
      </c>
      <c r="G14" s="13" t="s">
        <v>55</v>
      </c>
      <c r="H14" s="13" t="s">
        <v>113</v>
      </c>
      <c r="I14" s="11"/>
      <c r="J14" s="15">
        <v>45470</v>
      </c>
      <c r="K14" s="10" t="s">
        <v>31</v>
      </c>
      <c r="L14" s="16" t="s">
        <v>32</v>
      </c>
      <c r="M14" s="10" t="s">
        <v>33</v>
      </c>
      <c r="N14" s="10" t="s">
        <v>34</v>
      </c>
      <c r="O14" s="10"/>
      <c r="P14" s="10" t="s">
        <v>35</v>
      </c>
      <c r="Q14" s="10" t="s">
        <v>36</v>
      </c>
      <c r="R14" s="10" t="s">
        <v>37</v>
      </c>
      <c r="S14" s="10" t="s">
        <v>38</v>
      </c>
      <c r="T14" s="17"/>
      <c r="U14" s="10"/>
      <c r="V14" s="17"/>
    </row>
    <row r="15" spans="2:22" ht="67.5" x14ac:dyDescent="0.3">
      <c r="B15" s="10">
        <v>9</v>
      </c>
      <c r="C15" s="11" t="str">
        <f t="shared" si="0"/>
        <v>103050001</v>
      </c>
      <c r="D15" s="12" t="s">
        <v>26</v>
      </c>
      <c r="E15" s="13" t="s">
        <v>48</v>
      </c>
      <c r="F15" s="13" t="s">
        <v>56</v>
      </c>
      <c r="G15" s="13" t="s">
        <v>57</v>
      </c>
      <c r="H15" s="13" t="s">
        <v>114</v>
      </c>
      <c r="I15" s="11"/>
      <c r="J15" s="15">
        <v>45470</v>
      </c>
      <c r="K15" s="10" t="s">
        <v>31</v>
      </c>
      <c r="L15" s="16" t="s">
        <v>32</v>
      </c>
      <c r="M15" s="10" t="s">
        <v>33</v>
      </c>
      <c r="N15" s="10" t="s">
        <v>34</v>
      </c>
      <c r="O15" s="10"/>
      <c r="P15" s="10" t="s">
        <v>35</v>
      </c>
      <c r="Q15" s="10" t="s">
        <v>36</v>
      </c>
      <c r="R15" s="10" t="s">
        <v>37</v>
      </c>
      <c r="S15" s="10" t="s">
        <v>38</v>
      </c>
      <c r="T15" s="17"/>
      <c r="U15" s="10"/>
      <c r="V15" s="17"/>
    </row>
    <row r="16" spans="2:22" ht="40.5" x14ac:dyDescent="0.3">
      <c r="B16" s="10">
        <v>10</v>
      </c>
      <c r="C16" s="11" t="str">
        <f t="shared" si="0"/>
        <v>103060001</v>
      </c>
      <c r="D16" s="12" t="s">
        <v>26</v>
      </c>
      <c r="E16" s="13" t="s">
        <v>48</v>
      </c>
      <c r="F16" s="13" t="s">
        <v>58</v>
      </c>
      <c r="G16" s="13" t="s">
        <v>59</v>
      </c>
      <c r="H16" s="14" t="s">
        <v>115</v>
      </c>
      <c r="I16" s="11"/>
      <c r="J16" s="15">
        <v>45470</v>
      </c>
      <c r="K16" s="10" t="s">
        <v>31</v>
      </c>
      <c r="L16" s="16" t="s">
        <v>32</v>
      </c>
      <c r="M16" s="10" t="s">
        <v>33</v>
      </c>
      <c r="N16" s="10" t="s">
        <v>34</v>
      </c>
      <c r="O16" s="10"/>
      <c r="P16" s="10" t="s">
        <v>35</v>
      </c>
      <c r="Q16" s="10" t="s">
        <v>36</v>
      </c>
      <c r="R16" s="10" t="s">
        <v>37</v>
      </c>
      <c r="S16" s="10" t="s">
        <v>38</v>
      </c>
      <c r="T16" s="17"/>
      <c r="U16" s="10"/>
      <c r="V16" s="17"/>
    </row>
    <row r="17" spans="2:22" ht="40.5" x14ac:dyDescent="0.3">
      <c r="B17" s="10">
        <v>11</v>
      </c>
      <c r="C17" s="11" t="str">
        <f t="shared" si="0"/>
        <v>103070001</v>
      </c>
      <c r="D17" s="12" t="s">
        <v>26</v>
      </c>
      <c r="E17" s="13" t="s">
        <v>48</v>
      </c>
      <c r="F17" s="13" t="s">
        <v>60</v>
      </c>
      <c r="G17" s="13" t="s">
        <v>61</v>
      </c>
      <c r="H17" s="13" t="s">
        <v>116</v>
      </c>
      <c r="I17" s="11"/>
      <c r="J17" s="15">
        <v>45470</v>
      </c>
      <c r="K17" s="10" t="s">
        <v>31</v>
      </c>
      <c r="L17" s="16" t="s">
        <v>32</v>
      </c>
      <c r="M17" s="10" t="s">
        <v>33</v>
      </c>
      <c r="N17" s="10" t="s">
        <v>34</v>
      </c>
      <c r="O17" s="10"/>
      <c r="P17" s="10" t="s">
        <v>35</v>
      </c>
      <c r="Q17" s="10" t="s">
        <v>36</v>
      </c>
      <c r="R17" s="10" t="s">
        <v>37</v>
      </c>
      <c r="S17" s="10" t="s">
        <v>38</v>
      </c>
      <c r="T17" s="17"/>
      <c r="U17" s="10"/>
      <c r="V17" s="17"/>
    </row>
    <row r="18" spans="2:22" ht="40.5" x14ac:dyDescent="0.3">
      <c r="B18" s="10">
        <v>12</v>
      </c>
      <c r="C18" s="11" t="str">
        <f t="shared" si="0"/>
        <v>104010001</v>
      </c>
      <c r="D18" s="12" t="s">
        <v>26</v>
      </c>
      <c r="E18" s="13" t="s">
        <v>62</v>
      </c>
      <c r="F18" s="13" t="s">
        <v>26</v>
      </c>
      <c r="G18" s="13" t="s">
        <v>63</v>
      </c>
      <c r="H18" s="14" t="s">
        <v>117</v>
      </c>
      <c r="I18" s="11"/>
      <c r="J18" s="15">
        <v>45470</v>
      </c>
      <c r="K18" s="10" t="s">
        <v>31</v>
      </c>
      <c r="L18" s="16" t="s">
        <v>32</v>
      </c>
      <c r="M18" s="10" t="s">
        <v>33</v>
      </c>
      <c r="N18" s="10" t="s">
        <v>34</v>
      </c>
      <c r="O18" s="10"/>
      <c r="P18" s="10" t="s">
        <v>35</v>
      </c>
      <c r="Q18" s="10" t="s">
        <v>36</v>
      </c>
      <c r="R18" s="10" t="s">
        <v>37</v>
      </c>
      <c r="S18" s="10" t="s">
        <v>38</v>
      </c>
      <c r="T18" s="17"/>
      <c r="U18" s="10"/>
      <c r="V18" s="17"/>
    </row>
    <row r="19" spans="2:22" ht="40.5" x14ac:dyDescent="0.3">
      <c r="B19" s="10">
        <v>13</v>
      </c>
      <c r="C19" s="11" t="str">
        <f t="shared" si="0"/>
        <v>104020001</v>
      </c>
      <c r="D19" s="12" t="s">
        <v>26</v>
      </c>
      <c r="E19" s="13" t="s">
        <v>62</v>
      </c>
      <c r="F19" s="13" t="s">
        <v>50</v>
      </c>
      <c r="G19" s="13" t="s">
        <v>64</v>
      </c>
      <c r="H19" s="13" t="s">
        <v>118</v>
      </c>
      <c r="I19" s="11"/>
      <c r="J19" s="15">
        <v>45470</v>
      </c>
      <c r="K19" s="10" t="s">
        <v>31</v>
      </c>
      <c r="L19" s="16" t="s">
        <v>32</v>
      </c>
      <c r="M19" s="10" t="s">
        <v>33</v>
      </c>
      <c r="N19" s="10" t="s">
        <v>34</v>
      </c>
      <c r="O19" s="10"/>
      <c r="P19" s="10" t="s">
        <v>35</v>
      </c>
      <c r="Q19" s="10" t="s">
        <v>36</v>
      </c>
      <c r="R19" s="10" t="s">
        <v>37</v>
      </c>
      <c r="S19" s="10" t="s">
        <v>38</v>
      </c>
      <c r="T19" s="17"/>
      <c r="U19" s="10"/>
      <c r="V19" s="17"/>
    </row>
    <row r="20" spans="2:22" ht="67.5" x14ac:dyDescent="0.3">
      <c r="B20" s="10">
        <v>14</v>
      </c>
      <c r="C20" s="11" t="str">
        <f t="shared" si="0"/>
        <v>104030001</v>
      </c>
      <c r="D20" s="12" t="s">
        <v>26</v>
      </c>
      <c r="E20" s="13" t="s">
        <v>62</v>
      </c>
      <c r="F20" s="13" t="s">
        <v>52</v>
      </c>
      <c r="G20" s="13" t="s">
        <v>65</v>
      </c>
      <c r="H20" s="13" t="s">
        <v>119</v>
      </c>
      <c r="I20" s="11"/>
      <c r="J20" s="15">
        <v>45470</v>
      </c>
      <c r="K20" s="10" t="s">
        <v>31</v>
      </c>
      <c r="L20" s="16" t="s">
        <v>32</v>
      </c>
      <c r="M20" s="10" t="s">
        <v>33</v>
      </c>
      <c r="N20" s="10" t="s">
        <v>34</v>
      </c>
      <c r="O20" s="10"/>
      <c r="P20" s="10" t="s">
        <v>35</v>
      </c>
      <c r="Q20" s="10" t="s">
        <v>36</v>
      </c>
      <c r="R20" s="10" t="s">
        <v>37</v>
      </c>
      <c r="S20" s="10" t="s">
        <v>38</v>
      </c>
      <c r="T20" s="17"/>
      <c r="U20" s="10"/>
      <c r="V20" s="17"/>
    </row>
    <row r="21" spans="2:22" ht="81" x14ac:dyDescent="0.3">
      <c r="B21" s="10">
        <v>15</v>
      </c>
      <c r="C21" s="11" t="str">
        <f t="shared" si="0"/>
        <v>104040001</v>
      </c>
      <c r="D21" s="12" t="s">
        <v>26</v>
      </c>
      <c r="E21" s="13" t="s">
        <v>62</v>
      </c>
      <c r="F21" s="13" t="s">
        <v>54</v>
      </c>
      <c r="G21" s="13" t="s">
        <v>66</v>
      </c>
      <c r="H21" s="13" t="s">
        <v>120</v>
      </c>
      <c r="I21" s="11"/>
      <c r="J21" s="15">
        <v>45470</v>
      </c>
      <c r="K21" s="10" t="s">
        <v>31</v>
      </c>
      <c r="L21" s="16" t="s">
        <v>32</v>
      </c>
      <c r="M21" s="10" t="s">
        <v>33</v>
      </c>
      <c r="N21" s="10" t="s">
        <v>34</v>
      </c>
      <c r="O21" s="10"/>
      <c r="P21" s="10" t="s">
        <v>35</v>
      </c>
      <c r="Q21" s="10" t="s">
        <v>36</v>
      </c>
      <c r="R21" s="10" t="s">
        <v>37</v>
      </c>
      <c r="S21" s="10" t="s">
        <v>38</v>
      </c>
      <c r="T21" s="18"/>
      <c r="U21" s="10"/>
      <c r="V21" s="17"/>
    </row>
    <row r="22" spans="2:22" ht="40.5" x14ac:dyDescent="0.3">
      <c r="B22" s="10">
        <v>16</v>
      </c>
      <c r="C22" s="11" t="str">
        <f t="shared" si="0"/>
        <v>104050001</v>
      </c>
      <c r="D22" s="12" t="s">
        <v>26</v>
      </c>
      <c r="E22" s="13" t="s">
        <v>62</v>
      </c>
      <c r="F22" s="13" t="s">
        <v>56</v>
      </c>
      <c r="G22" s="13" t="s">
        <v>67</v>
      </c>
      <c r="H22" s="13" t="s">
        <v>121</v>
      </c>
      <c r="I22" s="11"/>
      <c r="J22" s="15">
        <v>45470</v>
      </c>
      <c r="K22" s="10" t="s">
        <v>31</v>
      </c>
      <c r="L22" s="16" t="s">
        <v>32</v>
      </c>
      <c r="M22" s="10" t="s">
        <v>33</v>
      </c>
      <c r="N22" s="10" t="s">
        <v>34</v>
      </c>
      <c r="O22" s="10"/>
      <c r="P22" s="10" t="s">
        <v>35</v>
      </c>
      <c r="Q22" s="10" t="s">
        <v>36</v>
      </c>
      <c r="R22" s="10" t="s">
        <v>37</v>
      </c>
      <c r="S22" s="10" t="s">
        <v>38</v>
      </c>
      <c r="T22" s="17"/>
      <c r="U22" s="10"/>
      <c r="V22" s="17"/>
    </row>
    <row r="23" spans="2:22" ht="216" x14ac:dyDescent="0.3">
      <c r="B23" s="10">
        <v>17</v>
      </c>
      <c r="C23" s="11" t="str">
        <f t="shared" si="0"/>
        <v>104060001</v>
      </c>
      <c r="D23" s="12" t="s">
        <v>26</v>
      </c>
      <c r="E23" s="13" t="s">
        <v>62</v>
      </c>
      <c r="F23" s="13" t="s">
        <v>58</v>
      </c>
      <c r="G23" s="13" t="s">
        <v>68</v>
      </c>
      <c r="H23" s="13" t="s">
        <v>122</v>
      </c>
      <c r="I23" s="11" t="s">
        <v>69</v>
      </c>
      <c r="J23" s="15">
        <v>45470</v>
      </c>
      <c r="K23" s="10" t="s">
        <v>31</v>
      </c>
      <c r="L23" s="16" t="s">
        <v>32</v>
      </c>
      <c r="M23" s="10" t="s">
        <v>33</v>
      </c>
      <c r="N23" s="10" t="s">
        <v>34</v>
      </c>
      <c r="O23" s="10"/>
      <c r="P23" s="10" t="s">
        <v>35</v>
      </c>
      <c r="Q23" s="10" t="s">
        <v>36</v>
      </c>
      <c r="R23" s="10" t="s">
        <v>37</v>
      </c>
      <c r="S23" s="10" t="s">
        <v>38</v>
      </c>
      <c r="T23" s="18"/>
      <c r="U23" s="10"/>
      <c r="V23" s="17"/>
    </row>
    <row r="24" spans="2:22" ht="40.5" x14ac:dyDescent="0.3">
      <c r="B24" s="10">
        <v>18</v>
      </c>
      <c r="C24" s="11" t="str">
        <f t="shared" si="0"/>
        <v>104070001</v>
      </c>
      <c r="D24" s="12" t="s">
        <v>26</v>
      </c>
      <c r="E24" s="13" t="s">
        <v>62</v>
      </c>
      <c r="F24" s="13" t="s">
        <v>60</v>
      </c>
      <c r="G24" s="13" t="s">
        <v>70</v>
      </c>
      <c r="H24" s="13" t="s">
        <v>123</v>
      </c>
      <c r="I24" s="11"/>
      <c r="J24" s="15">
        <v>45470</v>
      </c>
      <c r="K24" s="10" t="s">
        <v>31</v>
      </c>
      <c r="L24" s="16" t="s">
        <v>32</v>
      </c>
      <c r="M24" s="10" t="s">
        <v>33</v>
      </c>
      <c r="N24" s="10" t="s">
        <v>34</v>
      </c>
      <c r="O24" s="10"/>
      <c r="P24" s="10" t="s">
        <v>35</v>
      </c>
      <c r="Q24" s="10" t="s">
        <v>36</v>
      </c>
      <c r="R24" s="10" t="s">
        <v>37</v>
      </c>
      <c r="S24" s="10" t="s">
        <v>38</v>
      </c>
      <c r="T24" s="17"/>
      <c r="U24" s="10"/>
      <c r="V24" s="17"/>
    </row>
    <row r="25" spans="2:22" ht="40.5" x14ac:dyDescent="0.3">
      <c r="B25" s="10">
        <v>19</v>
      </c>
      <c r="C25" s="11" t="str">
        <f t="shared" si="0"/>
        <v>105010001</v>
      </c>
      <c r="D25" s="12" t="s">
        <v>26</v>
      </c>
      <c r="E25" s="13" t="s">
        <v>71</v>
      </c>
      <c r="F25" s="13" t="s">
        <v>72</v>
      </c>
      <c r="G25" s="13" t="s">
        <v>73</v>
      </c>
      <c r="H25" s="13" t="s">
        <v>124</v>
      </c>
      <c r="I25" s="11"/>
      <c r="J25" s="15">
        <v>45470</v>
      </c>
      <c r="K25" s="10" t="s">
        <v>31</v>
      </c>
      <c r="L25" s="16" t="s">
        <v>32</v>
      </c>
      <c r="M25" s="10" t="s">
        <v>33</v>
      </c>
      <c r="N25" s="10" t="s">
        <v>34</v>
      </c>
      <c r="O25" s="10"/>
      <c r="P25" s="10" t="s">
        <v>35</v>
      </c>
      <c r="Q25" s="10" t="s">
        <v>36</v>
      </c>
      <c r="R25" s="10" t="s">
        <v>37</v>
      </c>
      <c r="S25" s="10" t="s">
        <v>38</v>
      </c>
      <c r="T25" s="17"/>
      <c r="U25" s="10"/>
      <c r="V25" s="17"/>
    </row>
    <row r="26" spans="2:22" ht="40.5" x14ac:dyDescent="0.3">
      <c r="B26" s="10">
        <v>20</v>
      </c>
      <c r="C26" s="11" t="str">
        <f t="shared" si="0"/>
        <v>201010001</v>
      </c>
      <c r="D26" s="12" t="s">
        <v>74</v>
      </c>
      <c r="E26" s="12" t="s">
        <v>75</v>
      </c>
      <c r="F26" s="12" t="s">
        <v>76</v>
      </c>
      <c r="G26" s="12" t="s">
        <v>77</v>
      </c>
      <c r="H26" s="13" t="s">
        <v>125</v>
      </c>
      <c r="I26" s="11"/>
      <c r="J26" s="15">
        <v>45470</v>
      </c>
      <c r="K26" s="10" t="s">
        <v>31</v>
      </c>
      <c r="L26" s="16" t="s">
        <v>32</v>
      </c>
      <c r="M26" s="10" t="s">
        <v>33</v>
      </c>
      <c r="N26" s="10" t="s">
        <v>34</v>
      </c>
      <c r="O26" s="10"/>
      <c r="P26" s="10" t="s">
        <v>35</v>
      </c>
      <c r="Q26" s="10" t="s">
        <v>36</v>
      </c>
      <c r="R26" s="10" t="s">
        <v>37</v>
      </c>
      <c r="S26" s="10" t="s">
        <v>38</v>
      </c>
      <c r="T26" s="17"/>
      <c r="U26" s="10"/>
      <c r="V26" s="17"/>
    </row>
    <row r="27" spans="2:22" ht="40.5" x14ac:dyDescent="0.3">
      <c r="B27" s="10">
        <v>21</v>
      </c>
      <c r="C27" s="11" t="str">
        <f t="shared" si="0"/>
        <v>201020001</v>
      </c>
      <c r="D27" s="12" t="s">
        <v>74</v>
      </c>
      <c r="E27" s="12" t="s">
        <v>75</v>
      </c>
      <c r="F27" s="12" t="s">
        <v>78</v>
      </c>
      <c r="G27" s="12" t="s">
        <v>79</v>
      </c>
      <c r="H27" s="13" t="s">
        <v>125</v>
      </c>
      <c r="I27" s="11"/>
      <c r="J27" s="15">
        <v>45470</v>
      </c>
      <c r="K27" s="10" t="s">
        <v>31</v>
      </c>
      <c r="L27" s="16" t="s">
        <v>32</v>
      </c>
      <c r="M27" s="10" t="s">
        <v>33</v>
      </c>
      <c r="N27" s="10" t="s">
        <v>34</v>
      </c>
      <c r="O27" s="10"/>
      <c r="P27" s="10" t="s">
        <v>35</v>
      </c>
      <c r="Q27" s="10" t="s">
        <v>36</v>
      </c>
      <c r="R27" s="10" t="s">
        <v>37</v>
      </c>
      <c r="S27" s="10" t="s">
        <v>38</v>
      </c>
      <c r="T27" s="17"/>
      <c r="U27" s="10"/>
      <c r="V27" s="17"/>
    </row>
    <row r="28" spans="2:22" ht="40.5" x14ac:dyDescent="0.3">
      <c r="B28" s="10">
        <v>22</v>
      </c>
      <c r="C28" s="11" t="str">
        <f>LEFT(D28,2)&amp;LEFT(E28,2)&amp;LEFT(F28,2)&amp;LEFT(G28,3)</f>
        <v>202010001</v>
      </c>
      <c r="D28" s="12" t="s">
        <v>74</v>
      </c>
      <c r="E28" s="12" t="s">
        <v>80</v>
      </c>
      <c r="F28" s="13" t="s">
        <v>81</v>
      </c>
      <c r="G28" s="13" t="s">
        <v>82</v>
      </c>
      <c r="H28" s="13" t="s">
        <v>125</v>
      </c>
      <c r="I28" s="11"/>
      <c r="J28" s="15">
        <v>45470</v>
      </c>
      <c r="K28" s="10" t="s">
        <v>31</v>
      </c>
      <c r="L28" s="16" t="s">
        <v>32</v>
      </c>
      <c r="M28" s="10" t="s">
        <v>33</v>
      </c>
      <c r="N28" s="10" t="s">
        <v>34</v>
      </c>
      <c r="O28" s="10"/>
      <c r="P28" s="10" t="s">
        <v>35</v>
      </c>
      <c r="Q28" s="10" t="s">
        <v>36</v>
      </c>
      <c r="R28" s="10" t="s">
        <v>37</v>
      </c>
      <c r="S28" s="10" t="s">
        <v>38</v>
      </c>
      <c r="T28" s="17"/>
      <c r="U28" s="10"/>
      <c r="V28" s="17"/>
    </row>
    <row r="29" spans="2:22" ht="40.5" x14ac:dyDescent="0.3">
      <c r="B29" s="10">
        <v>23</v>
      </c>
      <c r="C29" s="11" t="str">
        <f>LEFT(D29,2)&amp;LEFT(E29,2)&amp;LEFT(F29,2)&amp;LEFT(G29,3)</f>
        <v>202030001</v>
      </c>
      <c r="D29" s="12" t="s">
        <v>74</v>
      </c>
      <c r="E29" s="12" t="s">
        <v>80</v>
      </c>
      <c r="F29" s="12" t="s">
        <v>83</v>
      </c>
      <c r="G29" s="12" t="s">
        <v>84</v>
      </c>
      <c r="H29" s="13" t="s">
        <v>125</v>
      </c>
      <c r="I29" s="11"/>
      <c r="J29" s="15">
        <v>45470</v>
      </c>
      <c r="K29" s="10" t="s">
        <v>31</v>
      </c>
      <c r="L29" s="16" t="s">
        <v>32</v>
      </c>
      <c r="M29" s="10" t="s">
        <v>33</v>
      </c>
      <c r="N29" s="10" t="s">
        <v>34</v>
      </c>
      <c r="O29" s="10"/>
      <c r="P29" s="10" t="s">
        <v>35</v>
      </c>
      <c r="Q29" s="10" t="s">
        <v>36</v>
      </c>
      <c r="R29" s="10" t="s">
        <v>37</v>
      </c>
      <c r="S29" s="10" t="s">
        <v>38</v>
      </c>
      <c r="T29" s="17"/>
      <c r="U29" s="10"/>
      <c r="V29" s="17"/>
    </row>
    <row r="30" spans="2:22" x14ac:dyDescent="0.3">
      <c r="B30" s="10">
        <v>24</v>
      </c>
      <c r="C30" s="11" t="str">
        <f>LEFT(D30,2)&amp;LEFT(E30,2)&amp;LEFT(F30,2)&amp;LEFT(G30,3)</f>
        <v>301010001</v>
      </c>
      <c r="D30" s="11" t="s">
        <v>85</v>
      </c>
      <c r="E30" s="11" t="s">
        <v>86</v>
      </c>
      <c r="F30" s="11" t="s">
        <v>86</v>
      </c>
      <c r="G30" s="11" t="s">
        <v>87</v>
      </c>
      <c r="H30" s="11" t="s">
        <v>126</v>
      </c>
      <c r="I30" s="11"/>
      <c r="J30" s="15">
        <v>45470</v>
      </c>
      <c r="K30" s="10" t="s">
        <v>31</v>
      </c>
      <c r="L30" s="19" t="s">
        <v>88</v>
      </c>
      <c r="M30" s="10" t="s">
        <v>33</v>
      </c>
      <c r="N30" s="10" t="s">
        <v>34</v>
      </c>
      <c r="O30" s="10"/>
      <c r="P30" s="10" t="s">
        <v>35</v>
      </c>
      <c r="Q30" s="10" t="s">
        <v>36</v>
      </c>
      <c r="R30" s="10" t="s">
        <v>37</v>
      </c>
      <c r="S30" s="10" t="s">
        <v>38</v>
      </c>
      <c r="T30" s="17"/>
      <c r="U30" s="10"/>
      <c r="V30" s="17"/>
    </row>
    <row r="31" spans="2:22" x14ac:dyDescent="0.3">
      <c r="B31" s="10">
        <v>25</v>
      </c>
      <c r="C31" s="11" t="str">
        <f t="shared" ref="C31:C32" si="1">LEFT(D31,2)&amp;LEFT(E31,2)&amp;LEFT(F31,2)&amp;LEFT(G31,3)</f>
        <v>302010001</v>
      </c>
      <c r="D31" s="11" t="s">
        <v>85</v>
      </c>
      <c r="E31" s="11" t="s">
        <v>89</v>
      </c>
      <c r="F31" s="11" t="s">
        <v>90</v>
      </c>
      <c r="G31" s="11" t="s">
        <v>91</v>
      </c>
      <c r="H31" s="11" t="s">
        <v>127</v>
      </c>
      <c r="I31" s="11"/>
      <c r="J31" s="15">
        <v>45470</v>
      </c>
      <c r="K31" s="10" t="s">
        <v>31</v>
      </c>
      <c r="L31" s="19" t="s">
        <v>88</v>
      </c>
      <c r="M31" s="10" t="s">
        <v>33</v>
      </c>
      <c r="N31" s="10" t="s">
        <v>34</v>
      </c>
      <c r="O31" s="10"/>
      <c r="P31" s="10" t="s">
        <v>35</v>
      </c>
      <c r="Q31" s="10" t="s">
        <v>36</v>
      </c>
      <c r="R31" s="10" t="s">
        <v>37</v>
      </c>
      <c r="S31" s="10" t="s">
        <v>38</v>
      </c>
      <c r="T31" s="17"/>
      <c r="U31" s="10"/>
      <c r="V31" s="17"/>
    </row>
    <row r="32" spans="2:22" x14ac:dyDescent="0.3">
      <c r="B32" s="10">
        <v>26</v>
      </c>
      <c r="C32" s="11" t="str">
        <f t="shared" si="1"/>
        <v>303010001</v>
      </c>
      <c r="D32" s="11" t="s">
        <v>85</v>
      </c>
      <c r="E32" s="11" t="s">
        <v>92</v>
      </c>
      <c r="F32" s="11" t="s">
        <v>93</v>
      </c>
      <c r="G32" s="11" t="s">
        <v>94</v>
      </c>
      <c r="H32" s="11" t="s">
        <v>128</v>
      </c>
      <c r="I32" s="11"/>
      <c r="J32" s="15">
        <v>45470</v>
      </c>
      <c r="K32" s="10" t="s">
        <v>31</v>
      </c>
      <c r="L32" s="19" t="s">
        <v>88</v>
      </c>
      <c r="M32" s="10" t="s">
        <v>33</v>
      </c>
      <c r="N32" s="10" t="s">
        <v>34</v>
      </c>
      <c r="O32" s="10"/>
      <c r="P32" s="10" t="s">
        <v>35</v>
      </c>
      <c r="Q32" s="10" t="s">
        <v>36</v>
      </c>
      <c r="R32" s="10" t="s">
        <v>37</v>
      </c>
      <c r="S32" s="10" t="s">
        <v>38</v>
      </c>
      <c r="T32" s="17"/>
      <c r="U32" s="10"/>
      <c r="V32" s="17"/>
    </row>
    <row r="33" spans="2:22" x14ac:dyDescent="0.3">
      <c r="B33" s="10">
        <v>27</v>
      </c>
      <c r="C33" s="11" t="str">
        <f>LEFT(D33,2)&amp;LEFT(E33,2)&amp;LEFT(F33,2)&amp;LEFT(G33,3)</f>
        <v>304010001</v>
      </c>
      <c r="D33" s="11" t="s">
        <v>85</v>
      </c>
      <c r="E33" s="11" t="s">
        <v>95</v>
      </c>
      <c r="F33" s="11" t="s">
        <v>96</v>
      </c>
      <c r="G33" s="11" t="s">
        <v>97</v>
      </c>
      <c r="H33" s="11" t="s">
        <v>129</v>
      </c>
      <c r="I33" s="11"/>
      <c r="J33" s="15">
        <v>45470</v>
      </c>
      <c r="K33" s="10" t="s">
        <v>31</v>
      </c>
      <c r="L33" s="19" t="s">
        <v>88</v>
      </c>
      <c r="M33" s="10" t="s">
        <v>33</v>
      </c>
      <c r="N33" s="10" t="s">
        <v>34</v>
      </c>
      <c r="O33" s="10"/>
      <c r="P33" s="10" t="s">
        <v>35</v>
      </c>
      <c r="Q33" s="10" t="s">
        <v>36</v>
      </c>
      <c r="R33" s="10" t="s">
        <v>37</v>
      </c>
      <c r="S33" s="10" t="s">
        <v>38</v>
      </c>
      <c r="T33" s="17"/>
      <c r="U33" s="10"/>
      <c r="V33" s="17"/>
    </row>
    <row r="34" spans="2:22" x14ac:dyDescent="0.3">
      <c r="B34" s="10">
        <v>28</v>
      </c>
      <c r="C34" s="11" t="str">
        <f t="shared" ref="C34:C36" si="2">LEFT(D34,2)&amp;LEFT(E34,2)&amp;LEFT(F34,2)&amp;LEFT(G34,3)</f>
        <v>401010001</v>
      </c>
      <c r="D34" s="11" t="s">
        <v>98</v>
      </c>
      <c r="E34" s="11" t="s">
        <v>86</v>
      </c>
      <c r="F34" s="11" t="s">
        <v>86</v>
      </c>
      <c r="G34" s="11" t="s">
        <v>87</v>
      </c>
      <c r="H34" s="14" t="s">
        <v>130</v>
      </c>
      <c r="I34" s="11"/>
      <c r="J34" s="15">
        <v>45470</v>
      </c>
      <c r="K34" s="10" t="s">
        <v>31</v>
      </c>
      <c r="L34" s="19" t="s">
        <v>88</v>
      </c>
      <c r="M34" s="10" t="s">
        <v>33</v>
      </c>
      <c r="N34" s="10" t="s">
        <v>34</v>
      </c>
      <c r="O34" s="10"/>
      <c r="P34" s="10" t="s">
        <v>35</v>
      </c>
      <c r="Q34" s="10" t="s">
        <v>36</v>
      </c>
      <c r="R34" s="10" t="s">
        <v>37</v>
      </c>
      <c r="S34" s="10" t="s">
        <v>38</v>
      </c>
      <c r="T34" s="17"/>
      <c r="U34" s="10"/>
      <c r="V34" s="17"/>
    </row>
    <row r="35" spans="2:22" x14ac:dyDescent="0.3">
      <c r="B35" s="10">
        <v>29</v>
      </c>
      <c r="C35" s="11" t="str">
        <f t="shared" si="2"/>
        <v>402020001</v>
      </c>
      <c r="D35" s="11" t="s">
        <v>98</v>
      </c>
      <c r="E35" s="11" t="s">
        <v>89</v>
      </c>
      <c r="F35" s="11" t="s">
        <v>89</v>
      </c>
      <c r="G35" s="11" t="s">
        <v>91</v>
      </c>
      <c r="H35" s="11" t="s">
        <v>131</v>
      </c>
      <c r="I35" s="11"/>
      <c r="J35" s="15">
        <v>45470</v>
      </c>
      <c r="K35" s="10" t="s">
        <v>31</v>
      </c>
      <c r="L35" s="19" t="s">
        <v>88</v>
      </c>
      <c r="M35" s="10" t="s">
        <v>33</v>
      </c>
      <c r="N35" s="10" t="s">
        <v>34</v>
      </c>
      <c r="O35" s="10"/>
      <c r="P35" s="10" t="s">
        <v>35</v>
      </c>
      <c r="Q35" s="10" t="s">
        <v>36</v>
      </c>
      <c r="R35" s="10" t="s">
        <v>37</v>
      </c>
      <c r="S35" s="10" t="s">
        <v>38</v>
      </c>
      <c r="T35" s="17"/>
      <c r="U35" s="10"/>
      <c r="V35" s="17"/>
    </row>
    <row r="36" spans="2:22" x14ac:dyDescent="0.3">
      <c r="B36" s="10">
        <v>30</v>
      </c>
      <c r="C36" s="11" t="str">
        <f t="shared" si="2"/>
        <v>403030001</v>
      </c>
      <c r="D36" s="11" t="s">
        <v>98</v>
      </c>
      <c r="E36" s="11" t="s">
        <v>92</v>
      </c>
      <c r="F36" s="11" t="s">
        <v>92</v>
      </c>
      <c r="G36" s="11" t="s">
        <v>94</v>
      </c>
      <c r="H36" s="11" t="s">
        <v>132</v>
      </c>
      <c r="I36" s="11"/>
      <c r="J36" s="15">
        <v>45470</v>
      </c>
      <c r="K36" s="10" t="s">
        <v>31</v>
      </c>
      <c r="L36" s="19" t="s">
        <v>88</v>
      </c>
      <c r="M36" s="10" t="s">
        <v>33</v>
      </c>
      <c r="N36" s="10" t="s">
        <v>34</v>
      </c>
      <c r="O36" s="10"/>
      <c r="P36" s="10" t="s">
        <v>35</v>
      </c>
      <c r="Q36" s="10" t="s">
        <v>36</v>
      </c>
      <c r="R36" s="10" t="s">
        <v>37</v>
      </c>
      <c r="S36" s="10" t="s">
        <v>38</v>
      </c>
      <c r="T36" s="17"/>
      <c r="U36" s="10"/>
      <c r="V36" s="17"/>
    </row>
    <row r="37" spans="2:22" ht="40.5" x14ac:dyDescent="0.3">
      <c r="B37" s="10">
        <v>31</v>
      </c>
      <c r="C37" s="11" t="str">
        <f>LEFT(D37,2)&amp;LEFT(E37,2)&amp;LEFT(F37,2)&amp;LEFT(G37,3)</f>
        <v>501010001</v>
      </c>
      <c r="D37" s="12" t="s">
        <v>99</v>
      </c>
      <c r="E37" s="12" t="s">
        <v>100</v>
      </c>
      <c r="F37" s="12" t="s">
        <v>100</v>
      </c>
      <c r="G37" s="12" t="s">
        <v>101</v>
      </c>
      <c r="H37" s="13" t="s">
        <v>133</v>
      </c>
      <c r="I37" s="11"/>
      <c r="J37" s="15">
        <v>45470</v>
      </c>
      <c r="K37" s="10" t="s">
        <v>31</v>
      </c>
      <c r="L37" s="16" t="s">
        <v>32</v>
      </c>
      <c r="M37" s="10" t="s">
        <v>33</v>
      </c>
      <c r="N37" s="10" t="s">
        <v>34</v>
      </c>
      <c r="O37" s="10"/>
      <c r="P37" s="10" t="s">
        <v>35</v>
      </c>
      <c r="Q37" s="10" t="s">
        <v>36</v>
      </c>
      <c r="R37" s="10" t="s">
        <v>37</v>
      </c>
      <c r="S37" s="10" t="s">
        <v>38</v>
      </c>
      <c r="T37" s="17"/>
      <c r="U37" s="10"/>
      <c r="V37" s="17"/>
    </row>
    <row r="38" spans="2:22" ht="54" x14ac:dyDescent="0.3">
      <c r="B38" s="10">
        <v>32</v>
      </c>
      <c r="C38" s="11" t="str">
        <f t="shared" ref="C38:C39" si="3">LEFT(D38,2)&amp;LEFT(E38,2)&amp;LEFT(F38,2)&amp;LEFT(G38,3)</f>
        <v>601010001</v>
      </c>
      <c r="D38" s="11" t="s">
        <v>102</v>
      </c>
      <c r="E38" s="11" t="s">
        <v>103</v>
      </c>
      <c r="F38" s="11" t="s">
        <v>103</v>
      </c>
      <c r="G38" s="11" t="s">
        <v>104</v>
      </c>
      <c r="H38" s="14" t="s">
        <v>134</v>
      </c>
      <c r="I38" s="11"/>
      <c r="J38" s="15">
        <v>45470</v>
      </c>
      <c r="K38" s="10" t="s">
        <v>105</v>
      </c>
      <c r="L38" s="19" t="s">
        <v>106</v>
      </c>
      <c r="M38" s="10" t="s">
        <v>33</v>
      </c>
      <c r="N38" s="10" t="s">
        <v>34</v>
      </c>
      <c r="O38" s="10"/>
      <c r="P38" s="10" t="s">
        <v>35</v>
      </c>
      <c r="Q38" s="10" t="s">
        <v>36</v>
      </c>
      <c r="R38" s="10" t="s">
        <v>37</v>
      </c>
      <c r="S38" s="10" t="s">
        <v>38</v>
      </c>
      <c r="T38" s="17"/>
      <c r="U38" s="10"/>
      <c r="V38" s="17"/>
    </row>
    <row r="39" spans="2:22" ht="54" x14ac:dyDescent="0.3">
      <c r="B39" s="10">
        <v>33</v>
      </c>
      <c r="C39" s="11" t="str">
        <f t="shared" si="3"/>
        <v>701010001</v>
      </c>
      <c r="D39" s="11" t="s">
        <v>107</v>
      </c>
      <c r="E39" s="11" t="s">
        <v>103</v>
      </c>
      <c r="F39" s="11" t="s">
        <v>103</v>
      </c>
      <c r="G39" s="11" t="s">
        <v>104</v>
      </c>
      <c r="H39" s="14" t="s">
        <v>134</v>
      </c>
      <c r="I39" s="11"/>
      <c r="J39" s="15">
        <v>45470</v>
      </c>
      <c r="K39" s="10" t="s">
        <v>105</v>
      </c>
      <c r="L39" s="19" t="s">
        <v>106</v>
      </c>
      <c r="M39" s="10" t="s">
        <v>33</v>
      </c>
      <c r="N39" s="10" t="s">
        <v>34</v>
      </c>
      <c r="O39" s="10"/>
      <c r="P39" s="10" t="s">
        <v>35</v>
      </c>
      <c r="Q39" s="10" t="s">
        <v>36</v>
      </c>
      <c r="R39" s="10" t="s">
        <v>37</v>
      </c>
      <c r="S39" s="10" t="s">
        <v>38</v>
      </c>
      <c r="T39" s="17"/>
      <c r="U39" s="10"/>
      <c r="V39" s="17"/>
    </row>
  </sheetData>
  <mergeCells count="16">
    <mergeCell ref="V4:V5"/>
    <mergeCell ref="B2:V2"/>
    <mergeCell ref="B4:B5"/>
    <mergeCell ref="C4:C5"/>
    <mergeCell ref="D4:F4"/>
    <mergeCell ref="G4:G5"/>
    <mergeCell ref="H4:H5"/>
    <mergeCell ref="I4:I5"/>
    <mergeCell ref="J4:J5"/>
    <mergeCell ref="K4:L4"/>
    <mergeCell ref="M4:M5"/>
    <mergeCell ref="N4:O4"/>
    <mergeCell ref="P4:R4"/>
    <mergeCell ref="S4:S5"/>
    <mergeCell ref="T4:T5"/>
    <mergeCell ref="U4:U5"/>
  </mergeCells>
  <phoneticPr fontId="2" type="noConversion"/>
  <dataValidations count="6">
    <dataValidation type="list" allowBlank="1" showInputMessage="1" showErrorMessage="1" sqref="O7:O39" xr:uid="{FCBA5D1F-0F00-41D9-AC27-885F08AA7D75}">
      <formula1>"수용,보류,기각,삭제"</formula1>
    </dataValidation>
    <dataValidation type="list" allowBlank="1" showInputMessage="1" showErrorMessage="1" sqref="S7:S39" xr:uid="{6800FE91-128F-4600-8979-C764A3FAC405}">
      <formula1>"신규,변경,보류,삭제,추가"</formula1>
    </dataValidation>
    <dataValidation type="list" allowBlank="1" showInputMessage="1" showErrorMessage="1" sqref="M7:M39" xr:uid="{59C8539D-80CC-4A24-A511-FD9C144F5751}">
      <formula1>"상,중,하"</formula1>
    </dataValidation>
    <dataValidation type="list" allowBlank="1" showInputMessage="1" showErrorMessage="1" sqref="K7:K39" xr:uid="{E127A082-E23B-43A0-B888-7704FEF4561D}">
      <formula1>"S/W요구사항,와부I/F요구사항,품질요구사항,기타요구사항"</formula1>
    </dataValidation>
    <dataValidation type="list" allowBlank="1" showInputMessage="1" showErrorMessage="1" sqref="L7:L39" xr:uid="{0F7CB35C-84B9-455E-A20D-349AD08F7F7E}">
      <formula1>"기능,데이터,H/W I/F,S/W I/F,커뮤니케이션 I/F,보안성,성능,신뢰성,사용성,효율성,유지보수성,이식성,기타"</formula1>
    </dataValidation>
    <dataValidation type="list" allowBlank="1" showInputMessage="1" showErrorMessage="1" sqref="N7:N39" xr:uid="{6AD0314F-B8DC-48FD-AC66-D26441C866C6}">
      <formula1>"수용,보류,기각"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요구사항정의서</vt:lpstr>
      <vt:lpstr>요구사항정의서_샘플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엄주영(데이터DX개발팀)</dc:creator>
  <cp:lastModifiedBy>sjpark</cp:lastModifiedBy>
  <dcterms:created xsi:type="dcterms:W3CDTF">2024-06-27T04:58:50Z</dcterms:created>
  <dcterms:modified xsi:type="dcterms:W3CDTF">2024-06-28T09:13:18Z</dcterms:modified>
</cp:coreProperties>
</file>